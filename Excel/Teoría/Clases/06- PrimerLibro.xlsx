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esktop\Esquema del día\"/>
    </mc:Choice>
  </mc:AlternateContent>
  <xr:revisionPtr revIDLastSave="0" documentId="13_ncr:1_{10DB4826-90D3-4291-A8E5-9378FEBA6C49}" xr6:coauthVersionLast="47" xr6:coauthVersionMax="47" xr10:uidLastSave="{00000000-0000-0000-0000-000000000000}"/>
  <bookViews>
    <workbookView xWindow="-113" yWindow="-113" windowWidth="24267" windowHeight="13023" xr2:uid="{00000000-000D-0000-FFFF-FFFF00000000}"/>
  </bookViews>
  <sheets>
    <sheet name="Contabilidad" sheetId="1" r:id="rId1"/>
    <sheet name="Ventas" sheetId="2" r:id="rId2"/>
    <sheet name="01 Ordenado" sheetId="3" r:id="rId3"/>
    <sheet name="02 Filtrado" sheetId="4" r:id="rId4"/>
    <sheet name="03 Reemplazar" sheetId="5" r:id="rId5"/>
    <sheet name="Filtro avanzado" sheetId="10" r:id="rId6"/>
    <sheet name="Buscar y Reemplazar" sheetId="11" r:id="rId7"/>
    <sheet name="Pruebas" sheetId="12" r:id="rId8"/>
    <sheet name="Contabilidad (2)" sheetId="14" r:id="rId9"/>
  </sheets>
  <definedNames>
    <definedName name="_xlnm._FilterDatabase" localSheetId="8" hidden="1">'Contabilidad (2)'!$A$1:$I$11</definedName>
    <definedName name="_xlnm._FilterDatabase" localSheetId="5" hidden="1">'Filtro avanzado'!$A$1:$I$11</definedName>
    <definedName name="_xlnm.Extract" localSheetId="8">'Contabilidad (2)'!$A$16:$I$16</definedName>
    <definedName name="_xlnm.Extract" localSheetId="5">'Filtro avanzado'!#REF!</definedName>
    <definedName name="_xlnm.Criteria" localSheetId="8">'Contabilidad (2)'!$C$13:$E$14</definedName>
    <definedName name="_xlnm.Criteria" localSheetId="5">'Filtro avanzado'!$A$14:$B$15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4" l="1"/>
  <c r="I7" i="14"/>
  <c r="I6" i="14"/>
  <c r="I5" i="14"/>
  <c r="I4" i="14"/>
  <c r="I10" i="14"/>
  <c r="I3" i="14"/>
  <c r="I9" i="14"/>
  <c r="I8" i="14"/>
  <c r="I2" i="14"/>
  <c r="I5" i="11"/>
  <c r="I11" i="12"/>
  <c r="I10" i="12"/>
  <c r="I9" i="12"/>
  <c r="I8" i="12"/>
  <c r="I7" i="12"/>
  <c r="I6" i="12"/>
  <c r="I5" i="12"/>
  <c r="I4" i="12"/>
  <c r="I3" i="12"/>
  <c r="I2" i="12"/>
  <c r="I11" i="11"/>
  <c r="I10" i="11"/>
  <c r="I9" i="11"/>
  <c r="I8" i="11"/>
  <c r="I7" i="11"/>
  <c r="I6" i="11"/>
  <c r="I4" i="11"/>
  <c r="I3" i="11"/>
  <c r="I2" i="11"/>
  <c r="I7" i="10"/>
  <c r="I5" i="10"/>
  <c r="I10" i="10"/>
  <c r="I8" i="10"/>
  <c r="I4" i="10"/>
  <c r="I9" i="10"/>
  <c r="I6" i="10"/>
  <c r="I3" i="10"/>
  <c r="I11" i="10"/>
  <c r="I2" i="1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Nuria López Álvarez</author>
  </authors>
  <commentList>
    <comment ref="E2" authorId="0" shapeId="0" xr:uid="{446A3BDE-5BF0-4CB7-8E01-9C86CBD2627A}">
      <text>
        <r>
          <rPr>
            <b/>
            <sz val="9"/>
            <color indexed="81"/>
            <rFont val="Tahoma"/>
            <family val="2"/>
          </rPr>
          <t>Nuria López Álvarez:</t>
        </r>
        <r>
          <rPr>
            <sz val="9"/>
            <color indexed="81"/>
            <rFont val="Tahoma"/>
            <family val="2"/>
          </rPr>
          <t xml:space="preserve">
patatín</t>
        </r>
      </text>
    </comment>
    <comment ref="E9" authorId="0" shapeId="0" xr:uid="{43F33999-903E-4418-90C7-04E0FD7548DF}">
      <text>
        <r>
          <rPr>
            <b/>
            <sz val="9"/>
            <color indexed="81"/>
            <rFont val="Tahoma"/>
            <family val="2"/>
          </rPr>
          <t>Nuria López Álvarez:</t>
        </r>
        <r>
          <rPr>
            <sz val="9"/>
            <color indexed="81"/>
            <rFont val="Tahoma"/>
            <family val="2"/>
          </rPr>
          <t xml:space="preserve">
patatán</t>
        </r>
      </text>
    </comment>
  </commentList>
</comments>
</file>

<file path=xl/sharedStrings.xml><?xml version="1.0" encoding="utf-8"?>
<sst xmlns="http://schemas.openxmlformats.org/spreadsheetml/2006/main" count="247" uniqueCount="49">
  <si>
    <t>ID</t>
  </si>
  <si>
    <t>NOMBRE</t>
  </si>
  <si>
    <t>SEXO</t>
  </si>
  <si>
    <t>DEPARTAMENTO</t>
  </si>
  <si>
    <t>EDAD</t>
  </si>
  <si>
    <t>COMISIÓN</t>
  </si>
  <si>
    <t>SUELDO</t>
  </si>
  <si>
    <t>FECHA</t>
  </si>
  <si>
    <t>NOMBRE-SEXO</t>
  </si>
  <si>
    <t>Alma Gutiérrez</t>
  </si>
  <si>
    <t>Femenino</t>
  </si>
  <si>
    <t>Finanzas</t>
  </si>
  <si>
    <t>Israel Fonseca</t>
  </si>
  <si>
    <t>Masculino</t>
  </si>
  <si>
    <t>Marketing</t>
  </si>
  <si>
    <t>Miguel Ladrón</t>
  </si>
  <si>
    <t>Relaciones Exteriores</t>
  </si>
  <si>
    <t>Cecilia Jaca</t>
  </si>
  <si>
    <t>Alejandro Gómez</t>
  </si>
  <si>
    <t>Rosaura Yépez</t>
  </si>
  <si>
    <t>Alondra Gómez</t>
  </si>
  <si>
    <t>Argenee Alamo</t>
  </si>
  <si>
    <t>Gilberto Galardi</t>
  </si>
  <si>
    <t>Comercio</t>
  </si>
  <si>
    <t>Víctor Yépez</t>
  </si>
  <si>
    <t>Recursos Humanos</t>
  </si>
  <si>
    <t>Empleado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</si>
  <si>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</si>
  <si>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</si>
  <si>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</si>
  <si>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</si>
  <si>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</si>
  <si>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</si>
  <si>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</si>
  <si>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</si>
  <si>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</si>
  <si>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</si>
  <si>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</si>
  <si>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</si>
  <si>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3.8.4 · Orden personalizado</t>
  </si>
  <si>
    <t>Ordenado por DEPARTAMENTO → SEXO → NOMBRE (A a Z).</t>
  </si>
  <si>
    <t>3.8.4 · Filtro de departamentos</t>
  </si>
  <si>
    <t>Solo Comercio y Marketing; los demás departamentos se excluyen de esta vista.</t>
  </si>
  <si>
    <t>3.8.5 · Buscar y reemplazar</t>
  </si>
  <si>
    <t>Todas las comisiones del 15 % se han sustituido por 13 % (3 coincidencias).</t>
  </si>
  <si>
    <t>&gt;=5</t>
  </si>
  <si>
    <t>Alondra Gómez - Femenino</t>
  </si>
  <si>
    <t>Mujer</t>
  </si>
  <si>
    <t>&gt;30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</si>
</sst>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9" x14ac:knownFonts="1">
    <font>
      <sz val="11"/>
      <color theme="1"/>
      <name val="Aptos Narrow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5"/>
      <color rgb="FFFFFFFF"/>
      <name val="Aptos Narrow"/>
      <family val="2"/>
    </font>
    <font>
      <i/>
      <sz val="11"/>
      <color theme="1"/>
      <name val="Aptos Narrow"/>
      <family val="2"/>
    </font>
    <font>
      <b/>
      <i/>
      <sz val="11"/>
      <color theme="1"/>
      <name val="Aptos Narrow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6F0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8" fillId="0" borderId="0"/>
  </cellStyleXfs>
  <cellXfs count="11">
    <xf numFmtId="0" fontId="0" fillId="0" borderId="0" xfId="0"/>
    <xf numFmtId="14" fontId="0" fillId="0" borderId="0" xfId="0" applyNumberFormat="1"/>
    <xf numFmtId="0" fontId="2" fillId="0" borderId="0" xfId="0" applyFont="1"/>
    <xf numFmtId="9" fontId="0" fillId="0" borderId="0" xfId="0" applyNumberFormat="1"/>
    <xf numFmtId="164" fontId="0" fillId="0" borderId="0" xfId="0" applyNumberFormat="1"/>
    <xf numFmtId="0" fontId="1" fillId="4" borderId="0" xfId="0" applyFont="1" applyFill="1"/>
    <xf numFmtId="0" fontId="5" fillId="0" borderId="0" xfId="0" applyFont="1"/>
    <xf numFmtId="0" fontId="1" fillId="0" borderId="0" xfId="0" applyFont="1"/>
    <xf numFmtId="0" fontId="3" fillId="2" borderId="0" xfId="0" applyFont="1" applyFill="1"/>
    <xf numFmtId="0" fontId="4" fillId="3" borderId="0" xfId="0" applyFont="1" applyFill="1"/>
    <xf numFmtId="0" fontId="0" fillId="0" borderId="0" xfId="0"/>
  </cellXfs>
  <cellStyles count="3">
    <cellStyle name="Normal" xfId="0" builtinId="0"/>
    <cellStyle name="Normal 2" xfId="2" xr:uid="{F7FDC4E9-A54D-42AA-BB19-F15711D54563}"/>
    <cellStyle name="Porcentaje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1"/>
  <sheetViews>
    <sheetView tabSelected="1" zoomScale="130" zoomScaleNormal="130" workbookViewId="0">
      <pane ySplit="1" topLeftCell="A2" activePane="bottomLeft" state="frozen"/>
      <selection pane="bottomLeft" activeCell="A2" sqref="A2"/>
    </sheetView>
  </sheetViews>
  <sheetFormatPr baseColWidth="10" defaultRowHeight="15.05" x14ac:dyDescent="0.3"/>
  <cols>
    <col min="1" max="10" width="14.5546875" customWidth="1"/>
  </cols>
  <sheetData>
    <row r="1" spans="1:9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23</v>
      </c>
      <c r="F2" s="3">
        <v>0.06</v>
      </c>
      <c r="G2" s="4">
        <v>23660</v>
      </c>
      <c r="H2" s="1">
        <v>43466</v>
      </c>
    </row>
    <row r="3" spans="1:9" x14ac:dyDescent="0.3">
      <c r="A3">
        <v>2</v>
      </c>
      <c r="B3" t="s">
        <v>12</v>
      </c>
      <c r="C3" t="s">
        <v>13</v>
      </c>
      <c r="D3" t="s">
        <v>14</v>
      </c>
      <c r="E3">
        <v>53</v>
      </c>
      <c r="F3" s="3">
        <v>0.1</v>
      </c>
      <c r="G3" s="4">
        <v>19540</v>
      </c>
      <c r="H3" s="1">
        <v>43831</v>
      </c>
    </row>
    <row r="4" spans="1:9" x14ac:dyDescent="0.3">
      <c r="A4">
        <v>3</v>
      </c>
      <c r="B4" t="s">
        <v>15</v>
      </c>
      <c r="C4" t="s">
        <v>13</v>
      </c>
      <c r="D4" t="s">
        <v>16</v>
      </c>
      <c r="E4">
        <v>23</v>
      </c>
      <c r="F4" s="3">
        <v>0.15</v>
      </c>
      <c r="G4" s="4">
        <v>18904</v>
      </c>
      <c r="H4" s="1">
        <v>44197</v>
      </c>
    </row>
    <row r="5" spans="1:9" x14ac:dyDescent="0.3">
      <c r="A5">
        <v>4</v>
      </c>
      <c r="B5" t="s">
        <v>17</v>
      </c>
      <c r="C5" t="s">
        <v>10</v>
      </c>
      <c r="D5" t="s">
        <v>14</v>
      </c>
      <c r="E5">
        <v>35</v>
      </c>
      <c r="F5" s="3">
        <v>0.05</v>
      </c>
      <c r="G5" s="4">
        <v>17980</v>
      </c>
      <c r="H5" s="1">
        <v>44562</v>
      </c>
    </row>
    <row r="6" spans="1:9" x14ac:dyDescent="0.3">
      <c r="A6">
        <v>5</v>
      </c>
      <c r="B6" t="s">
        <v>18</v>
      </c>
      <c r="C6" t="s">
        <v>13</v>
      </c>
      <c r="D6" t="s">
        <v>16</v>
      </c>
      <c r="E6">
        <v>43</v>
      </c>
      <c r="F6" s="3">
        <v>0.05</v>
      </c>
      <c r="G6" s="4">
        <v>23980</v>
      </c>
      <c r="H6" s="1">
        <v>44927</v>
      </c>
    </row>
    <row r="7" spans="1:9" x14ac:dyDescent="0.3">
      <c r="A7">
        <v>6</v>
      </c>
      <c r="B7" t="s">
        <v>19</v>
      </c>
      <c r="C7" t="s">
        <v>10</v>
      </c>
      <c r="D7" t="s">
        <v>11</v>
      </c>
      <c r="E7">
        <v>27</v>
      </c>
      <c r="F7" s="3">
        <v>0.15</v>
      </c>
      <c r="G7" s="4">
        <v>23421</v>
      </c>
      <c r="H7" s="1">
        <v>45292</v>
      </c>
    </row>
    <row r="8" spans="1:9" x14ac:dyDescent="0.3">
      <c r="A8">
        <v>7</v>
      </c>
      <c r="B8" t="s">
        <v>20</v>
      </c>
      <c r="C8" t="s">
        <v>10</v>
      </c>
      <c r="D8" t="s">
        <v>11</v>
      </c>
      <c r="E8">
        <v>38</v>
      </c>
      <c r="F8" s="3">
        <v>0.1</v>
      </c>
      <c r="G8" s="4">
        <v>18322</v>
      </c>
      <c r="H8" s="1">
        <v>45658</v>
      </c>
    </row>
    <row r="9" spans="1:9" x14ac:dyDescent="0.3">
      <c r="A9">
        <v>8</v>
      </c>
      <c r="B9" t="s">
        <v>21</v>
      </c>
      <c r="C9" t="s">
        <v>10</v>
      </c>
      <c r="D9" t="s">
        <v>16</v>
      </c>
      <c r="E9">
        <v>49</v>
      </c>
      <c r="F9" s="3">
        <v>0.1</v>
      </c>
      <c r="G9" s="4">
        <v>231500</v>
      </c>
      <c r="H9" s="1">
        <v>46023</v>
      </c>
    </row>
    <row r="10" spans="1:9" x14ac:dyDescent="0.3">
      <c r="A10">
        <v>9</v>
      </c>
      <c r="B10" t="s">
        <v>22</v>
      </c>
      <c r="C10" t="s">
        <v>10</v>
      </c>
      <c r="D10" t="s">
        <v>23</v>
      </c>
      <c r="E10">
        <v>28</v>
      </c>
      <c r="F10" s="3">
        <v>0.15</v>
      </c>
      <c r="G10" s="4">
        <v>23043</v>
      </c>
      <c r="H10" s="1">
        <v>46388</v>
      </c>
    </row>
    <row r="11" spans="1:9" x14ac:dyDescent="0.3">
      <c r="A11">
        <v>10</v>
      </c>
      <c r="B11" t="s">
        <v>24</v>
      </c>
      <c r="C11" t="s">
        <v>13</v>
      </c>
      <c r="D11" t="s">
        <v>25</v>
      </c>
      <c r="E11">
        <v>35</v>
      </c>
      <c r="F11" s="3">
        <v>0.05</v>
      </c>
      <c r="G11" s="4">
        <v>16483</v>
      </c>
      <c r="H11" s="1">
        <v>46753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"/>
  <sheetViews>
    <sheetView workbookViewId="0">
      <pane ySplit="1" topLeftCell="A2" activePane="bottomLeft" state="frozen"/>
      <selection pane="bottomLeft" activeCell="A2" sqref="A2:J10"/>
    </sheetView>
  </sheetViews>
  <sheetFormatPr baseColWidth="10" defaultRowHeight="15.05" x14ac:dyDescent="0.3"/>
  <cols>
    <col min="1" max="1" width="24" customWidth="1"/>
    <col min="2" max="13" width="16" customWidth="1"/>
  </cols>
  <sheetData>
    <row r="1" spans="1:13" x14ac:dyDescent="0.3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  <c r="J1" t="s">
        <v>35</v>
      </c>
      <c r="K1" t="s">
        <v>36</v>
      </c>
      <c r="L1" t="s">
        <v>37</v>
      </c>
      <c r="M1" t="s">
        <v>38</v>
      </c>
    </row>
    <row r="2" spans="1:13" x14ac:dyDescent="0.3">
      <c r="A2" t="s">
        <v>9</v>
      </c>
      <c r="B2">
        <v>18500</v>
      </c>
      <c r="C2">
        <v>20250</v>
      </c>
      <c r="D2">
        <v>22000</v>
      </c>
      <c r="E2">
        <v>21200</v>
      </c>
      <c r="F2">
        <v>22950</v>
      </c>
      <c r="G2">
        <v>22150</v>
      </c>
      <c r="H2">
        <v>23900</v>
      </c>
      <c r="I2">
        <v>25650</v>
      </c>
      <c r="J2">
        <v>24850</v>
      </c>
      <c r="K2">
        <v>26600</v>
      </c>
      <c r="L2">
        <v>25800</v>
      </c>
      <c r="M2">
        <v>27550</v>
      </c>
    </row>
    <row r="3" spans="1:13" x14ac:dyDescent="0.3">
      <c r="A3" t="s">
        <v>12</v>
      </c>
      <c r="B3">
        <v>21309</v>
      </c>
      <c r="C3">
        <v>20509</v>
      </c>
      <c r="D3">
        <v>22259</v>
      </c>
      <c r="E3">
        <v>24009</v>
      </c>
      <c r="F3">
        <v>23209</v>
      </c>
      <c r="G3">
        <v>24959</v>
      </c>
      <c r="H3">
        <v>24159</v>
      </c>
      <c r="I3">
        <v>25909</v>
      </c>
      <c r="J3">
        <v>27659</v>
      </c>
      <c r="K3">
        <v>26859</v>
      </c>
      <c r="L3">
        <v>28609</v>
      </c>
      <c r="M3">
        <v>27809</v>
      </c>
    </row>
    <row r="4" spans="1:13" x14ac:dyDescent="0.3">
      <c r="A4" t="s">
        <v>15</v>
      </c>
      <c r="B4">
        <v>21568</v>
      </c>
      <c r="C4">
        <v>23318</v>
      </c>
      <c r="D4">
        <v>22518</v>
      </c>
      <c r="E4">
        <v>24268</v>
      </c>
      <c r="F4">
        <v>26018</v>
      </c>
      <c r="G4">
        <v>25218</v>
      </c>
      <c r="H4">
        <v>26968</v>
      </c>
      <c r="I4">
        <v>26168</v>
      </c>
      <c r="J4">
        <v>27918</v>
      </c>
      <c r="K4">
        <v>29668</v>
      </c>
      <c r="L4">
        <v>28868</v>
      </c>
      <c r="M4">
        <v>30618</v>
      </c>
    </row>
    <row r="5" spans="1:13" x14ac:dyDescent="0.3">
      <c r="A5" t="s">
        <v>17</v>
      </c>
      <c r="B5">
        <v>24377</v>
      </c>
      <c r="C5">
        <v>23577</v>
      </c>
      <c r="D5">
        <v>25327</v>
      </c>
      <c r="E5">
        <v>24527</v>
      </c>
      <c r="F5">
        <v>26277</v>
      </c>
      <c r="G5">
        <v>28027</v>
      </c>
      <c r="H5">
        <v>27227</v>
      </c>
      <c r="I5">
        <v>28977</v>
      </c>
      <c r="J5">
        <v>28177</v>
      </c>
      <c r="K5">
        <v>29927</v>
      </c>
      <c r="L5">
        <v>31677</v>
      </c>
      <c r="M5">
        <v>30877</v>
      </c>
    </row>
    <row r="6" spans="1:13" x14ac:dyDescent="0.3">
      <c r="A6" t="s">
        <v>18</v>
      </c>
      <c r="B6">
        <v>24636</v>
      </c>
      <c r="C6">
        <v>26386</v>
      </c>
      <c r="D6">
        <v>25586</v>
      </c>
      <c r="E6">
        <v>27336</v>
      </c>
      <c r="F6">
        <v>26536</v>
      </c>
      <c r="G6">
        <v>28286</v>
      </c>
      <c r="H6">
        <v>30036</v>
      </c>
      <c r="I6">
        <v>29236</v>
      </c>
      <c r="J6">
        <v>30986</v>
      </c>
      <c r="K6">
        <v>30186</v>
      </c>
      <c r="L6">
        <v>31936</v>
      </c>
      <c r="M6">
        <v>33686</v>
      </c>
    </row>
    <row r="7" spans="1:13" x14ac:dyDescent="0.3">
      <c r="A7" t="s">
        <v>19</v>
      </c>
      <c r="B7">
        <v>24895</v>
      </c>
      <c r="C7">
        <v>26645</v>
      </c>
      <c r="D7">
        <v>28395</v>
      </c>
      <c r="E7">
        <v>27595</v>
      </c>
      <c r="F7">
        <v>29345</v>
      </c>
      <c r="G7">
        <v>28545</v>
      </c>
      <c r="H7">
        <v>30295</v>
      </c>
      <c r="I7">
        <v>32045</v>
      </c>
      <c r="J7">
        <v>31245</v>
      </c>
      <c r="K7">
        <v>32995</v>
      </c>
      <c r="L7">
        <v>32195</v>
      </c>
      <c r="M7">
        <v>33945</v>
      </c>
    </row>
    <row r="8" spans="1:13" x14ac:dyDescent="0.3">
      <c r="A8" t="s">
        <v>20</v>
      </c>
      <c r="B8">
        <v>27704</v>
      </c>
      <c r="C8">
        <v>26904</v>
      </c>
      <c r="D8">
        <v>28654</v>
      </c>
      <c r="E8">
        <v>30404</v>
      </c>
      <c r="F8">
        <v>29604</v>
      </c>
      <c r="G8">
        <v>31354</v>
      </c>
      <c r="H8">
        <v>30554</v>
      </c>
      <c r="I8">
        <v>32304</v>
      </c>
      <c r="J8">
        <v>34054</v>
      </c>
      <c r="K8">
        <v>33254</v>
      </c>
      <c r="L8">
        <v>35004</v>
      </c>
      <c r="M8">
        <v>34204</v>
      </c>
    </row>
    <row r="9" spans="1:13" x14ac:dyDescent="0.3">
      <c r="A9" t="s">
        <v>21</v>
      </c>
      <c r="B9">
        <v>27963</v>
      </c>
      <c r="C9">
        <v>29713</v>
      </c>
      <c r="D9">
        <v>28913</v>
      </c>
      <c r="E9">
        <v>30663</v>
      </c>
      <c r="F9">
        <v>32413</v>
      </c>
      <c r="G9">
        <v>31613</v>
      </c>
      <c r="H9">
        <v>33363</v>
      </c>
      <c r="I9">
        <v>32563</v>
      </c>
      <c r="J9">
        <v>34313</v>
      </c>
      <c r="K9">
        <v>36063</v>
      </c>
      <c r="L9">
        <v>35263</v>
      </c>
      <c r="M9">
        <v>37013</v>
      </c>
    </row>
    <row r="10" spans="1:13" x14ac:dyDescent="0.3">
      <c r="A10" t="s">
        <v>22</v>
      </c>
      <c r="B10">
        <v>30772</v>
      </c>
      <c r="C10">
        <v>29972</v>
      </c>
      <c r="D10">
        <v>31722</v>
      </c>
      <c r="E10">
        <v>30922</v>
      </c>
      <c r="F10">
        <v>32672</v>
      </c>
      <c r="G10">
        <v>34422</v>
      </c>
      <c r="H10">
        <v>33622</v>
      </c>
      <c r="I10">
        <v>35372</v>
      </c>
      <c r="J10">
        <v>34572</v>
      </c>
      <c r="K10">
        <v>36322</v>
      </c>
      <c r="L10">
        <v>38072</v>
      </c>
      <c r="M10">
        <v>37272</v>
      </c>
    </row>
    <row r="11" spans="1:13" x14ac:dyDescent="0.3">
      <c r="A11" t="s">
        <v>24</v>
      </c>
      <c r="B11">
        <v>20031</v>
      </c>
      <c r="C11">
        <v>21781</v>
      </c>
      <c r="D11">
        <v>20981</v>
      </c>
      <c r="E11">
        <v>22731</v>
      </c>
      <c r="F11">
        <v>21931</v>
      </c>
      <c r="G11">
        <v>23681</v>
      </c>
      <c r="H11">
        <v>25431</v>
      </c>
      <c r="I11">
        <v>24631</v>
      </c>
      <c r="J11">
        <v>26381</v>
      </c>
      <c r="K11">
        <v>25581</v>
      </c>
      <c r="L11">
        <v>27331</v>
      </c>
      <c r="M11">
        <v>29081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zoomScale="115" zoomScaleNormal="115" workbookViewId="0">
      <pane ySplit="3" topLeftCell="A4" activePane="bottomLeft" state="frozen"/>
      <selection pane="bottomLeft" activeCell="B8" sqref="B8"/>
    </sheetView>
  </sheetViews>
  <sheetFormatPr baseColWidth="10" defaultColWidth="8.88671875" defaultRowHeight="15.05" x14ac:dyDescent="0.3"/>
  <cols>
    <col min="1" max="1" width="13" customWidth="1"/>
    <col min="2" max="2" width="23" customWidth="1"/>
    <col min="3" max="3" width="16" customWidth="1"/>
    <col min="4" max="4" width="25" customWidth="1"/>
    <col min="5" max="8" width="16" customWidth="1"/>
    <col min="9" max="9" width="24.44140625" bestFit="1" customWidth="1"/>
    <col min="10" max="14" width="16" customWidth="1"/>
  </cols>
  <sheetData>
    <row r="1" spans="1:9" ht="30.05" customHeight="1" x14ac:dyDescent="0.4">
      <c r="A1" s="8" t="s">
        <v>39</v>
      </c>
      <c r="B1" s="8"/>
      <c r="C1" s="8"/>
      <c r="D1" s="8"/>
      <c r="E1" s="8"/>
      <c r="F1" s="8"/>
      <c r="G1" s="8"/>
      <c r="H1" s="8"/>
      <c r="I1" s="8"/>
    </row>
    <row r="2" spans="1:9" ht="27.1" customHeight="1" x14ac:dyDescent="0.3">
      <c r="A2" s="9" t="s">
        <v>40</v>
      </c>
      <c r="B2" s="10"/>
      <c r="C2" s="10"/>
      <c r="D2" s="10"/>
      <c r="E2" s="10"/>
      <c r="F2" s="10"/>
      <c r="G2" s="10"/>
      <c r="H2" s="10"/>
      <c r="I2" s="10"/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>
      <pane ySplit="2" topLeftCell="A3" activePane="bottomLeft" state="frozen"/>
      <selection pane="bottomLeft" activeCell="B8" sqref="B8"/>
    </sheetView>
  </sheetViews>
  <sheetFormatPr baseColWidth="10" defaultColWidth="8.88671875" defaultRowHeight="15.05" x14ac:dyDescent="0.3"/>
  <cols>
    <col min="1" max="1" width="13" customWidth="1"/>
    <col min="2" max="2" width="23" customWidth="1"/>
    <col min="3" max="3" width="16" customWidth="1"/>
    <col min="4" max="4" width="25" customWidth="1"/>
    <col min="5" max="14" width="16" customWidth="1"/>
  </cols>
  <sheetData>
    <row r="1" spans="1:9" ht="30.05" customHeight="1" x14ac:dyDescent="0.4">
      <c r="A1" s="8" t="s">
        <v>41</v>
      </c>
      <c r="B1" s="8"/>
      <c r="C1" s="8"/>
      <c r="D1" s="8"/>
      <c r="E1" s="8"/>
      <c r="F1" s="8"/>
      <c r="G1" s="8"/>
      <c r="H1" s="8"/>
      <c r="I1" s="8"/>
    </row>
    <row r="2" spans="1:9" ht="27.1" customHeight="1" x14ac:dyDescent="0.3">
      <c r="A2" s="9" t="s">
        <v>42</v>
      </c>
      <c r="B2" s="10"/>
      <c r="C2" s="10"/>
      <c r="D2" s="10"/>
      <c r="E2" s="10"/>
      <c r="F2" s="10"/>
      <c r="G2" s="10"/>
      <c r="H2" s="10"/>
      <c r="I2" s="10"/>
    </row>
  </sheetData>
  <mergeCells count="2">
    <mergeCell ref="A1:I1"/>
    <mergeCell ref="A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"/>
  <sheetViews>
    <sheetView workbookViewId="0">
      <pane ySplit="2" topLeftCell="A3" activePane="bottomLeft" state="frozen"/>
      <selection pane="bottomLeft" activeCell="D21" sqref="D21"/>
    </sheetView>
  </sheetViews>
  <sheetFormatPr baseColWidth="10" defaultColWidth="8.88671875" defaultRowHeight="15.05" x14ac:dyDescent="0.3"/>
  <cols>
    <col min="1" max="1" width="13" customWidth="1"/>
    <col min="2" max="2" width="23" customWidth="1"/>
    <col min="3" max="3" width="16" customWidth="1"/>
    <col min="4" max="4" width="25" customWidth="1"/>
    <col min="5" max="14" width="16" customWidth="1"/>
  </cols>
  <sheetData>
    <row r="1" spans="1:9" ht="30.05" customHeight="1" x14ac:dyDescent="0.4">
      <c r="A1" s="8" t="s">
        <v>43</v>
      </c>
      <c r="B1" s="8"/>
      <c r="C1" s="8"/>
      <c r="D1" s="8"/>
      <c r="E1" s="8"/>
      <c r="F1" s="8"/>
      <c r="G1" s="8"/>
      <c r="H1" s="8"/>
      <c r="I1" s="8"/>
    </row>
    <row r="2" spans="1:9" ht="27.1" customHeight="1" x14ac:dyDescent="0.3">
      <c r="A2" s="9" t="s">
        <v>44</v>
      </c>
      <c r="B2" s="10"/>
      <c r="C2" s="10"/>
      <c r="D2" s="10"/>
      <c r="E2" s="10"/>
      <c r="F2" s="10"/>
      <c r="G2" s="10"/>
      <c r="H2" s="10"/>
      <c r="I2" s="10"/>
    </row>
  </sheetData>
  <mergeCells count="2">
    <mergeCell ref="A1:I1"/>
    <mergeCell ref="A2:I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41D36-5717-4634-AFBA-D32F52740757}">
  <dimension ref="A1:I15"/>
  <sheetViews>
    <sheetView zoomScale="160" zoomScaleNormal="160" workbookViewId="0">
      <pane ySplit="1" topLeftCell="A2" activePane="bottomLeft" state="frozen"/>
      <selection sqref="A1:E1"/>
      <selection pane="bottomLeft" activeCell="D13" sqref="D13"/>
    </sheetView>
  </sheetViews>
  <sheetFormatPr baseColWidth="10" defaultRowHeight="15.05" x14ac:dyDescent="0.3"/>
  <cols>
    <col min="1" max="10" width="14.5546875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23</v>
      </c>
      <c r="F2" s="3">
        <v>0.06</v>
      </c>
      <c r="G2" s="4">
        <v>23660</v>
      </c>
      <c r="H2" s="1">
        <v>43466</v>
      </c>
      <c r="I2" t="str">
        <f t="shared" ref="I2:I11" si="0">B2&amp;" - "&amp;C2</f>
        <v>Alma Gutiérrez - Femenino</v>
      </c>
    </row>
    <row r="3" spans="1:9" x14ac:dyDescent="0.3">
      <c r="A3">
        <v>3</v>
      </c>
      <c r="B3" t="s">
        <v>15</v>
      </c>
      <c r="C3" t="s">
        <v>13</v>
      </c>
      <c r="D3" t="s">
        <v>16</v>
      </c>
      <c r="E3">
        <v>23</v>
      </c>
      <c r="F3" s="3">
        <v>0.15</v>
      </c>
      <c r="G3" s="4">
        <v>18904</v>
      </c>
      <c r="H3" s="1">
        <v>44197</v>
      </c>
      <c r="I3" t="str">
        <f t="shared" si="0"/>
        <v>Miguel Ladrón - Masculino</v>
      </c>
    </row>
    <row r="4" spans="1:9" x14ac:dyDescent="0.3">
      <c r="A4">
        <v>6</v>
      </c>
      <c r="B4" t="s">
        <v>19</v>
      </c>
      <c r="C4" t="s">
        <v>10</v>
      </c>
      <c r="D4" t="s">
        <v>11</v>
      </c>
      <c r="E4">
        <v>27</v>
      </c>
      <c r="F4" s="3">
        <v>0.15</v>
      </c>
      <c r="G4" s="4">
        <v>23421</v>
      </c>
      <c r="H4" s="1">
        <v>45292</v>
      </c>
      <c r="I4" t="str">
        <f t="shared" si="0"/>
        <v>Rosaura Yépez - Femenino</v>
      </c>
    </row>
    <row r="5" spans="1:9" x14ac:dyDescent="0.3">
      <c r="A5">
        <v>9</v>
      </c>
      <c r="B5" t="s">
        <v>22</v>
      </c>
      <c r="C5" t="s">
        <v>10</v>
      </c>
      <c r="D5" t="s">
        <v>23</v>
      </c>
      <c r="E5">
        <v>28</v>
      </c>
      <c r="F5" s="3">
        <v>0.15</v>
      </c>
      <c r="G5" s="4">
        <v>23043</v>
      </c>
      <c r="H5" s="1">
        <v>46388</v>
      </c>
      <c r="I5" t="str">
        <f t="shared" si="0"/>
        <v>Gilberto Galardi - Femenino</v>
      </c>
    </row>
    <row r="6" spans="1:9" x14ac:dyDescent="0.3">
      <c r="A6">
        <v>4</v>
      </c>
      <c r="B6" t="s">
        <v>17</v>
      </c>
      <c r="C6" t="s">
        <v>10</v>
      </c>
      <c r="D6" t="s">
        <v>14</v>
      </c>
      <c r="E6">
        <v>35</v>
      </c>
      <c r="F6" s="3">
        <v>0.05</v>
      </c>
      <c r="G6" s="4">
        <v>17980</v>
      </c>
      <c r="H6" s="1">
        <v>44562</v>
      </c>
      <c r="I6" t="str">
        <f t="shared" si="0"/>
        <v>Cecilia Jaca - Femenino</v>
      </c>
    </row>
    <row r="7" spans="1:9" x14ac:dyDescent="0.3">
      <c r="A7">
        <v>10</v>
      </c>
      <c r="B7" t="s">
        <v>24</v>
      </c>
      <c r="C7" t="s">
        <v>13</v>
      </c>
      <c r="D7" t="s">
        <v>25</v>
      </c>
      <c r="E7">
        <v>35</v>
      </c>
      <c r="F7" s="3">
        <v>0.05</v>
      </c>
      <c r="G7" s="4">
        <v>16483</v>
      </c>
      <c r="H7" s="1">
        <v>46753</v>
      </c>
      <c r="I7" t="str">
        <f t="shared" si="0"/>
        <v>Víctor Yépez - Masculino</v>
      </c>
    </row>
    <row r="8" spans="1:9" x14ac:dyDescent="0.3">
      <c r="A8">
        <v>7</v>
      </c>
      <c r="B8" t="s">
        <v>20</v>
      </c>
      <c r="C8" t="s">
        <v>10</v>
      </c>
      <c r="D8" t="s">
        <v>11</v>
      </c>
      <c r="E8">
        <v>38</v>
      </c>
      <c r="F8" s="3">
        <v>0.1</v>
      </c>
      <c r="G8" s="4">
        <v>18322</v>
      </c>
      <c r="H8" s="1">
        <v>45658</v>
      </c>
      <c r="I8" t="str">
        <f t="shared" si="0"/>
        <v>Alondra Gómez - Femenino</v>
      </c>
    </row>
    <row r="9" spans="1:9" x14ac:dyDescent="0.3">
      <c r="A9">
        <v>5</v>
      </c>
      <c r="B9" t="s">
        <v>18</v>
      </c>
      <c r="C9" t="s">
        <v>13</v>
      </c>
      <c r="D9" t="s">
        <v>16</v>
      </c>
      <c r="E9">
        <v>43</v>
      </c>
      <c r="F9" s="3">
        <v>0.05</v>
      </c>
      <c r="G9" s="4">
        <v>23980</v>
      </c>
      <c r="H9" s="1">
        <v>44927</v>
      </c>
      <c r="I9" t="str">
        <f t="shared" si="0"/>
        <v>Alejandro Gómez - Masculino</v>
      </c>
    </row>
    <row r="10" spans="1:9" x14ac:dyDescent="0.3">
      <c r="A10">
        <v>8</v>
      </c>
      <c r="B10" t="s">
        <v>21</v>
      </c>
      <c r="C10" t="s">
        <v>10</v>
      </c>
      <c r="D10" t="s">
        <v>16</v>
      </c>
      <c r="E10">
        <v>49</v>
      </c>
      <c r="F10" s="3">
        <v>0.1</v>
      </c>
      <c r="G10" s="4">
        <v>231500</v>
      </c>
      <c r="H10" s="1">
        <v>46023</v>
      </c>
      <c r="I10" t="str">
        <f t="shared" si="0"/>
        <v>Argenee Alamo - Femenino</v>
      </c>
    </row>
    <row r="11" spans="1:9" x14ac:dyDescent="0.3">
      <c r="A11">
        <v>2</v>
      </c>
      <c r="B11" t="s">
        <v>12</v>
      </c>
      <c r="C11" t="s">
        <v>13</v>
      </c>
      <c r="D11" t="s">
        <v>14</v>
      </c>
      <c r="E11">
        <v>53</v>
      </c>
      <c r="F11" s="3">
        <v>0.1</v>
      </c>
      <c r="G11" s="4">
        <v>19540</v>
      </c>
      <c r="H11" s="1">
        <v>43831</v>
      </c>
      <c r="I11" t="str">
        <f t="shared" si="0"/>
        <v>Israel Fonseca - Masculino</v>
      </c>
    </row>
    <row r="14" spans="1:9" x14ac:dyDescent="0.3">
      <c r="A14" s="5" t="s">
        <v>0</v>
      </c>
      <c r="B14" s="5" t="s">
        <v>2</v>
      </c>
    </row>
    <row r="15" spans="1:9" x14ac:dyDescent="0.3">
      <c r="A15" s="5" t="s">
        <v>45</v>
      </c>
      <c r="B15" s="5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6C81B-9D68-4705-96B6-507C74663D37}">
  <dimension ref="A1:I11"/>
  <sheetViews>
    <sheetView workbookViewId="0">
      <pane ySplit="1" topLeftCell="A2" activePane="bottomLeft" state="frozen"/>
      <selection pane="bottomLeft" activeCell="I19" sqref="I19"/>
    </sheetView>
  </sheetViews>
  <sheetFormatPr baseColWidth="10" defaultRowHeight="15.05" x14ac:dyDescent="0.3"/>
  <cols>
    <col min="1" max="8" width="14.5546875" customWidth="1"/>
    <col min="9" max="9" width="24.44140625" bestFit="1" customWidth="1"/>
    <col min="10" max="10" width="14.5546875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t="s">
        <v>9</v>
      </c>
      <c r="C2" s="6" t="s">
        <v>47</v>
      </c>
      <c r="D2" t="s">
        <v>11</v>
      </c>
      <c r="E2">
        <v>23</v>
      </c>
      <c r="F2" s="3">
        <v>0.06</v>
      </c>
      <c r="G2" s="4">
        <v>23660</v>
      </c>
      <c r="H2" s="1">
        <v>43466</v>
      </c>
      <c r="I2" t="str">
        <f t="shared" ref="I2:I11" si="0">B2&amp;" - "&amp;C2</f>
        <v>Alma Gutiérrez - Mujer</v>
      </c>
    </row>
    <row r="3" spans="1:9" x14ac:dyDescent="0.3">
      <c r="A3">
        <v>2</v>
      </c>
      <c r="B3" t="s">
        <v>12</v>
      </c>
      <c r="C3" t="s">
        <v>13</v>
      </c>
      <c r="D3" t="s">
        <v>14</v>
      </c>
      <c r="E3">
        <v>53</v>
      </c>
      <c r="F3" s="3">
        <v>0.1</v>
      </c>
      <c r="G3" s="4">
        <v>19540</v>
      </c>
      <c r="H3" s="1">
        <v>43831</v>
      </c>
      <c r="I3" t="str">
        <f t="shared" si="0"/>
        <v>Israel Fonseca - Masculino</v>
      </c>
    </row>
    <row r="4" spans="1:9" x14ac:dyDescent="0.3">
      <c r="A4">
        <v>3</v>
      </c>
      <c r="B4" t="s">
        <v>15</v>
      </c>
      <c r="C4" t="s">
        <v>13</v>
      </c>
      <c r="D4" t="s">
        <v>16</v>
      </c>
      <c r="E4">
        <v>23</v>
      </c>
      <c r="F4" s="3">
        <v>0.15</v>
      </c>
      <c r="G4" s="4">
        <v>18904</v>
      </c>
      <c r="H4" s="1">
        <v>44197</v>
      </c>
      <c r="I4" t="str">
        <f t="shared" si="0"/>
        <v>Miguel Ladrón - Masculino</v>
      </c>
    </row>
    <row r="5" spans="1:9" x14ac:dyDescent="0.3">
      <c r="A5">
        <v>4</v>
      </c>
      <c r="B5" t="s">
        <v>17</v>
      </c>
      <c r="C5" s="6" t="s">
        <v>47</v>
      </c>
      <c r="D5" t="s">
        <v>14</v>
      </c>
      <c r="E5">
        <v>35</v>
      </c>
      <c r="F5" s="3">
        <v>0.05</v>
      </c>
      <c r="G5" s="4">
        <v>17980</v>
      </c>
      <c r="H5" s="1">
        <v>44562</v>
      </c>
      <c r="I5" t="str">
        <f t="shared" si="0"/>
        <v>Cecilia Jaca - Mujer</v>
      </c>
    </row>
    <row r="6" spans="1:9" x14ac:dyDescent="0.3">
      <c r="A6">
        <v>5</v>
      </c>
      <c r="B6" t="s">
        <v>18</v>
      </c>
      <c r="C6" t="s">
        <v>13</v>
      </c>
      <c r="D6" t="s">
        <v>16</v>
      </c>
      <c r="E6">
        <v>43</v>
      </c>
      <c r="F6" s="3">
        <v>0.05</v>
      </c>
      <c r="G6" s="4">
        <v>23980</v>
      </c>
      <c r="H6" s="1">
        <v>44927</v>
      </c>
      <c r="I6" t="str">
        <f t="shared" si="0"/>
        <v>Alejandro Gómez - Masculino</v>
      </c>
    </row>
    <row r="7" spans="1:9" x14ac:dyDescent="0.3">
      <c r="A7">
        <v>6</v>
      </c>
      <c r="B7" t="s">
        <v>19</v>
      </c>
      <c r="C7" s="6" t="s">
        <v>47</v>
      </c>
      <c r="D7" t="s">
        <v>11</v>
      </c>
      <c r="E7">
        <v>27</v>
      </c>
      <c r="F7" s="3">
        <v>0.15</v>
      </c>
      <c r="G7" s="4">
        <v>23421</v>
      </c>
      <c r="H7" s="1">
        <v>45292</v>
      </c>
      <c r="I7" t="str">
        <f t="shared" si="0"/>
        <v>Rosaura Yépez - Mujer</v>
      </c>
    </row>
    <row r="8" spans="1:9" x14ac:dyDescent="0.3">
      <c r="A8">
        <v>7</v>
      </c>
      <c r="B8" t="s">
        <v>20</v>
      </c>
      <c r="C8" s="6" t="s">
        <v>47</v>
      </c>
      <c r="D8" t="s">
        <v>11</v>
      </c>
      <c r="E8">
        <v>38</v>
      </c>
      <c r="F8" s="3">
        <v>0.1</v>
      </c>
      <c r="G8" s="4">
        <v>18322</v>
      </c>
      <c r="H8" s="1">
        <v>45658</v>
      </c>
      <c r="I8" t="str">
        <f t="shared" si="0"/>
        <v>Alondra Gómez - Mujer</v>
      </c>
    </row>
    <row r="9" spans="1:9" x14ac:dyDescent="0.3">
      <c r="A9">
        <v>8</v>
      </c>
      <c r="B9" t="s">
        <v>21</v>
      </c>
      <c r="C9" s="6" t="s">
        <v>47</v>
      </c>
      <c r="D9" t="s">
        <v>16</v>
      </c>
      <c r="E9">
        <v>49</v>
      </c>
      <c r="F9" s="3">
        <v>0.1</v>
      </c>
      <c r="G9" s="4">
        <v>231500</v>
      </c>
      <c r="H9" s="1">
        <v>46023</v>
      </c>
      <c r="I9" t="str">
        <f t="shared" si="0"/>
        <v>Argenee Alamo - Mujer</v>
      </c>
    </row>
    <row r="10" spans="1:9" x14ac:dyDescent="0.3">
      <c r="A10">
        <v>9</v>
      </c>
      <c r="B10" t="s">
        <v>22</v>
      </c>
      <c r="C10" s="6" t="s">
        <v>47</v>
      </c>
      <c r="D10" t="s">
        <v>23</v>
      </c>
      <c r="E10">
        <v>28</v>
      </c>
      <c r="F10" s="3">
        <v>0.15</v>
      </c>
      <c r="G10" s="4">
        <v>23043</v>
      </c>
      <c r="H10" s="1">
        <v>46388</v>
      </c>
      <c r="I10" t="str">
        <f t="shared" si="0"/>
        <v>Gilberto Galardi - Mujer</v>
      </c>
    </row>
    <row r="11" spans="1:9" x14ac:dyDescent="0.3">
      <c r="A11">
        <v>10</v>
      </c>
      <c r="B11" t="s">
        <v>24</v>
      </c>
      <c r="C11" t="s">
        <v>13</v>
      </c>
      <c r="D11" t="s">
        <v>25</v>
      </c>
      <c r="E11">
        <v>35</v>
      </c>
      <c r="F11" s="3">
        <v>0.05</v>
      </c>
      <c r="G11" s="4">
        <v>16483</v>
      </c>
      <c r="H11" s="1">
        <v>46753</v>
      </c>
      <c r="I11" t="str">
        <f t="shared" si="0"/>
        <v>Víctor Yépez - Masculino</v>
      </c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F3A6-CAD8-4C8F-A687-704B21E858B4}">
  <dimension ref="A1:I11"/>
  <sheetViews>
    <sheetView workbookViewId="0">
      <pane ySplit="1" topLeftCell="A2" activePane="bottomLeft" state="frozen"/>
      <selection pane="bottomLeft" activeCell="I2" sqref="I2"/>
    </sheetView>
  </sheetViews>
  <sheetFormatPr baseColWidth="10" defaultRowHeight="15.05" x14ac:dyDescent="0.3"/>
  <cols>
    <col min="1" max="8" width="14.5546875" customWidth="1"/>
    <col min="9" max="9" width="24.44140625" bestFit="1" customWidth="1"/>
    <col min="10" max="10" width="14.5546875" customWidth="1"/>
  </cols>
  <sheetData>
    <row r="1" spans="1:9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23</v>
      </c>
      <c r="F2" s="3">
        <v>0.06</v>
      </c>
      <c r="G2" s="4">
        <v>23660</v>
      </c>
      <c r="H2" s="1">
        <v>43466</v>
      </c>
      <c r="I2" t="str">
        <f t="shared" ref="I2:I11" si="0">B2&amp;" - "&amp;C2</f>
        <v>Alma Gutiérrez - Femenino</v>
      </c>
    </row>
    <row r="3" spans="1:9" x14ac:dyDescent="0.3">
      <c r="A3">
        <v>2</v>
      </c>
      <c r="B3" t="s">
        <v>12</v>
      </c>
      <c r="C3" t="s">
        <v>13</v>
      </c>
      <c r="D3" t="s">
        <v>14</v>
      </c>
      <c r="E3">
        <v>53</v>
      </c>
      <c r="F3" s="3">
        <v>0.1</v>
      </c>
      <c r="G3" s="4">
        <v>19540</v>
      </c>
      <c r="H3" s="1">
        <v>43831</v>
      </c>
      <c r="I3" t="str">
        <f t="shared" si="0"/>
        <v>Israel Fonseca - Masculino</v>
      </c>
    </row>
    <row r="4" spans="1:9" x14ac:dyDescent="0.3">
      <c r="A4">
        <v>3</v>
      </c>
      <c r="B4" t="s">
        <v>15</v>
      </c>
      <c r="C4" t="s">
        <v>13</v>
      </c>
      <c r="D4" t="s">
        <v>16</v>
      </c>
      <c r="E4">
        <v>23</v>
      </c>
      <c r="F4" s="3">
        <v>0.15</v>
      </c>
      <c r="G4" s="4">
        <v>18904</v>
      </c>
      <c r="H4" s="1">
        <v>44197</v>
      </c>
      <c r="I4" t="str">
        <f t="shared" si="0"/>
        <v>Miguel Ladrón - Masculino</v>
      </c>
    </row>
    <row r="5" spans="1:9" x14ac:dyDescent="0.3">
      <c r="A5">
        <v>4</v>
      </c>
      <c r="B5" t="s">
        <v>17</v>
      </c>
      <c r="C5" t="s">
        <v>10</v>
      </c>
      <c r="D5" t="s">
        <v>14</v>
      </c>
      <c r="E5">
        <v>35</v>
      </c>
      <c r="F5" s="3">
        <v>0.05</v>
      </c>
      <c r="G5" s="4">
        <v>17980</v>
      </c>
      <c r="H5" s="1">
        <v>44562</v>
      </c>
      <c r="I5" t="str">
        <f t="shared" si="0"/>
        <v>Cecilia Jaca - Femenino</v>
      </c>
    </row>
    <row r="6" spans="1:9" x14ac:dyDescent="0.3">
      <c r="A6">
        <v>5</v>
      </c>
      <c r="B6" t="s">
        <v>18</v>
      </c>
      <c r="C6" t="s">
        <v>13</v>
      </c>
      <c r="D6" t="s">
        <v>16</v>
      </c>
      <c r="E6">
        <v>43</v>
      </c>
      <c r="F6" s="3">
        <v>0.05</v>
      </c>
      <c r="G6" s="4">
        <v>23980</v>
      </c>
      <c r="H6" s="1">
        <v>44927</v>
      </c>
      <c r="I6" t="str">
        <f t="shared" si="0"/>
        <v>Alejandro Gómez - Masculino</v>
      </c>
    </row>
    <row r="7" spans="1:9" x14ac:dyDescent="0.3">
      <c r="A7">
        <v>6</v>
      </c>
      <c r="B7" t="s">
        <v>19</v>
      </c>
      <c r="C7" t="s">
        <v>10</v>
      </c>
      <c r="D7" t="s">
        <v>11</v>
      </c>
      <c r="E7">
        <v>27</v>
      </c>
      <c r="F7" s="3">
        <v>0.15</v>
      </c>
      <c r="G7" s="4">
        <v>23421</v>
      </c>
      <c r="H7" s="1">
        <v>45292</v>
      </c>
      <c r="I7" t="str">
        <f t="shared" si="0"/>
        <v>Rosaura Yépez - Femenino</v>
      </c>
    </row>
    <row r="8" spans="1:9" x14ac:dyDescent="0.3">
      <c r="A8">
        <v>7</v>
      </c>
      <c r="B8" t="s">
        <v>20</v>
      </c>
      <c r="C8" t="s">
        <v>10</v>
      </c>
      <c r="D8" t="s">
        <v>11</v>
      </c>
      <c r="E8">
        <v>38</v>
      </c>
      <c r="F8" s="3">
        <v>0.1</v>
      </c>
      <c r="G8" s="4">
        <v>18322</v>
      </c>
      <c r="H8" s="1">
        <v>45658</v>
      </c>
      <c r="I8" t="str">
        <f t="shared" si="0"/>
        <v>Alondra Gómez - Femenino</v>
      </c>
    </row>
    <row r="9" spans="1:9" x14ac:dyDescent="0.3">
      <c r="A9">
        <v>8</v>
      </c>
      <c r="B9" t="s">
        <v>21</v>
      </c>
      <c r="C9" t="s">
        <v>10</v>
      </c>
      <c r="D9" t="s">
        <v>16</v>
      </c>
      <c r="E9">
        <v>49</v>
      </c>
      <c r="F9" s="3">
        <v>0.1</v>
      </c>
      <c r="G9" s="4">
        <v>231500</v>
      </c>
      <c r="H9" s="1">
        <v>46023</v>
      </c>
      <c r="I9" t="str">
        <f t="shared" si="0"/>
        <v>Argenee Alamo - Femenino</v>
      </c>
    </row>
    <row r="10" spans="1:9" x14ac:dyDescent="0.3">
      <c r="A10">
        <v>9</v>
      </c>
      <c r="B10" t="s">
        <v>22</v>
      </c>
      <c r="C10" t="s">
        <v>10</v>
      </c>
      <c r="D10" t="s">
        <v>23</v>
      </c>
      <c r="E10">
        <v>28</v>
      </c>
      <c r="F10" s="3">
        <v>0.15</v>
      </c>
      <c r="G10" s="4">
        <v>23043</v>
      </c>
      <c r="H10" s="1">
        <v>46388</v>
      </c>
      <c r="I10" t="str">
        <f t="shared" si="0"/>
        <v>Gilberto Galardi - Femenino</v>
      </c>
    </row>
    <row r="11" spans="1:9" x14ac:dyDescent="0.3">
      <c r="A11">
        <v>10</v>
      </c>
      <c r="B11" t="s">
        <v>24</v>
      </c>
      <c r="C11" t="s">
        <v>13</v>
      </c>
      <c r="D11" t="s">
        <v>25</v>
      </c>
      <c r="E11">
        <v>35</v>
      </c>
      <c r="F11" s="3">
        <v>0.05</v>
      </c>
      <c r="G11" s="4">
        <v>16483</v>
      </c>
      <c r="H11" s="1">
        <v>46753</v>
      </c>
      <c r="I11" t="str">
        <f t="shared" si="0"/>
        <v>Víctor Yépez - Masculino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70E13-2E29-4D23-BDA1-21E10CD20CE3}">
  <dimension ref="A1:I17"/>
  <sheetViews>
    <sheetView zoomScale="145" zoomScaleNormal="145" workbookViewId="0">
      <pane ySplit="1" topLeftCell="A2" activePane="bottomLeft" state="frozen"/>
      <selection pane="bottomLeft" activeCell="A2" sqref="A2"/>
    </sheetView>
  </sheetViews>
  <sheetFormatPr baseColWidth="10" defaultRowHeight="15.05" x14ac:dyDescent="0.3"/>
  <cols>
    <col min="1" max="10" width="14.5546875" customWidth="1"/>
  </cols>
  <sheetData>
    <row r="1" spans="1:9" s="7" customFormat="1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spans="1:9" x14ac:dyDescent="0.3">
      <c r="A2">
        <v>1</v>
      </c>
      <c r="B2" t="s">
        <v>9</v>
      </c>
      <c r="C2" t="s">
        <v>10</v>
      </c>
      <c r="D2" t="s">
        <v>11</v>
      </c>
      <c r="E2">
        <v>23</v>
      </c>
      <c r="F2" s="3">
        <v>0.06</v>
      </c>
      <c r="G2" s="4">
        <v>23660</v>
      </c>
      <c r="H2" s="1">
        <v>43466</v>
      </c>
      <c r="I2" t="str">
        <f t="shared" ref="I2:I11" si="0">B2&amp;" - "&amp;C2</f>
        <v>Alma Gutiérrez - Femenino</v>
      </c>
    </row>
    <row r="3" spans="1:9" x14ac:dyDescent="0.3">
      <c r="A3">
        <v>4</v>
      </c>
      <c r="B3" t="s">
        <v>17</v>
      </c>
      <c r="C3" t="s">
        <v>10</v>
      </c>
      <c r="D3" t="s">
        <v>14</v>
      </c>
      <c r="E3">
        <v>35</v>
      </c>
      <c r="F3" s="3">
        <v>0.05</v>
      </c>
      <c r="G3" s="4">
        <v>17980</v>
      </c>
      <c r="H3" s="1">
        <v>44562</v>
      </c>
      <c r="I3" t="str">
        <f t="shared" si="0"/>
        <v>Cecilia Jaca - Femenino</v>
      </c>
    </row>
    <row r="4" spans="1:9" x14ac:dyDescent="0.3">
      <c r="A4">
        <v>6</v>
      </c>
      <c r="B4" t="s">
        <v>19</v>
      </c>
      <c r="C4" t="s">
        <v>10</v>
      </c>
      <c r="D4" t="s">
        <v>11</v>
      </c>
      <c r="E4">
        <v>27</v>
      </c>
      <c r="F4" s="3">
        <v>0.15</v>
      </c>
      <c r="G4" s="4">
        <v>23421</v>
      </c>
      <c r="H4" s="1">
        <v>45292</v>
      </c>
      <c r="I4" t="str">
        <f t="shared" si="0"/>
        <v>Rosaura Yépez - Femenino</v>
      </c>
    </row>
    <row r="5" spans="1:9" x14ac:dyDescent="0.3">
      <c r="A5">
        <v>7</v>
      </c>
      <c r="B5" t="s">
        <v>20</v>
      </c>
      <c r="C5" t="s">
        <v>10</v>
      </c>
      <c r="D5" t="s">
        <v>11</v>
      </c>
      <c r="E5">
        <v>38</v>
      </c>
      <c r="F5" s="3">
        <v>0.1</v>
      </c>
      <c r="G5" s="4">
        <v>18322</v>
      </c>
      <c r="H5" s="1">
        <v>45658</v>
      </c>
      <c r="I5" t="str">
        <f t="shared" si="0"/>
        <v>Alondra Gómez - Femenino</v>
      </c>
    </row>
    <row r="6" spans="1:9" x14ac:dyDescent="0.3">
      <c r="A6">
        <v>8</v>
      </c>
      <c r="B6" t="s">
        <v>21</v>
      </c>
      <c r="C6" t="s">
        <v>10</v>
      </c>
      <c r="D6" t="s">
        <v>16</v>
      </c>
      <c r="E6">
        <v>49</v>
      </c>
      <c r="F6" s="3">
        <v>0.1</v>
      </c>
      <c r="G6" s="4">
        <v>231500</v>
      </c>
      <c r="H6" s="1">
        <v>46023</v>
      </c>
      <c r="I6" t="str">
        <f t="shared" si="0"/>
        <v>Argenee Alamo - Femenino</v>
      </c>
    </row>
    <row r="7" spans="1:9" x14ac:dyDescent="0.3">
      <c r="A7">
        <v>9</v>
      </c>
      <c r="B7" t="s">
        <v>22</v>
      </c>
      <c r="C7" t="s">
        <v>10</v>
      </c>
      <c r="D7" t="s">
        <v>23</v>
      </c>
      <c r="E7">
        <v>28</v>
      </c>
      <c r="F7" s="3">
        <v>0.15</v>
      </c>
      <c r="G7" s="4">
        <v>23043</v>
      </c>
      <c r="H7" s="1">
        <v>46388</v>
      </c>
      <c r="I7" t="str">
        <f t="shared" si="0"/>
        <v>Gilberto Galardi - Femenino</v>
      </c>
    </row>
    <row r="8" spans="1:9" x14ac:dyDescent="0.3">
      <c r="A8">
        <v>2</v>
      </c>
      <c r="B8" t="s">
        <v>12</v>
      </c>
      <c r="C8" t="s">
        <v>13</v>
      </c>
      <c r="D8" t="s">
        <v>14</v>
      </c>
      <c r="E8">
        <v>53</v>
      </c>
      <c r="F8" s="3">
        <v>0.1</v>
      </c>
      <c r="G8" s="4">
        <v>19540</v>
      </c>
      <c r="H8" s="1">
        <v>43831</v>
      </c>
      <c r="I8" t="str">
        <f t="shared" si="0"/>
        <v>Israel Fonseca - Masculino</v>
      </c>
    </row>
    <row r="9" spans="1:9" x14ac:dyDescent="0.3">
      <c r="A9">
        <v>3</v>
      </c>
      <c r="B9" t="s">
        <v>15</v>
      </c>
      <c r="C9" t="s">
        <v>13</v>
      </c>
      <c r="D9" t="s">
        <v>16</v>
      </c>
      <c r="E9">
        <v>23</v>
      </c>
      <c r="F9" s="3">
        <v>0.15</v>
      </c>
      <c r="G9" s="4">
        <v>18904</v>
      </c>
      <c r="H9" s="1">
        <v>44197</v>
      </c>
      <c r="I9" t="str">
        <f t="shared" si="0"/>
        <v>Miguel Ladrón - Masculino</v>
      </c>
    </row>
    <row r="10" spans="1:9" x14ac:dyDescent="0.3">
      <c r="A10">
        <v>5</v>
      </c>
      <c r="B10" t="s">
        <v>18</v>
      </c>
      <c r="C10" t="s">
        <v>13</v>
      </c>
      <c r="D10" t="s">
        <v>16</v>
      </c>
      <c r="E10">
        <v>43</v>
      </c>
      <c r="F10" s="3">
        <v>0.05</v>
      </c>
      <c r="G10" s="4">
        <v>23980</v>
      </c>
      <c r="H10" s="1">
        <v>44927</v>
      </c>
      <c r="I10" t="str">
        <f t="shared" si="0"/>
        <v>Alejandro Gómez - Masculino</v>
      </c>
    </row>
    <row r="11" spans="1:9" x14ac:dyDescent="0.3">
      <c r="A11">
        <v>10</v>
      </c>
      <c r="B11" t="s">
        <v>24</v>
      </c>
      <c r="C11" t="s">
        <v>13</v>
      </c>
      <c r="D11" t="s">
        <v>25</v>
      </c>
      <c r="E11">
        <v>35</v>
      </c>
      <c r="F11" s="3">
        <v>0.05</v>
      </c>
      <c r="G11" s="4">
        <v>16483</v>
      </c>
      <c r="H11" s="1">
        <v>46753</v>
      </c>
      <c r="I11" t="str">
        <f t="shared" si="0"/>
        <v>Víctor Yépez - Masculino</v>
      </c>
    </row>
    <row r="13" spans="1:9" s="7" customFormat="1" x14ac:dyDescent="0.3">
      <c r="C13" s="7" t="s">
        <v>2</v>
      </c>
      <c r="D13" s="7" t="s">
        <v>3</v>
      </c>
      <c r="E13" s="7" t="s">
        <v>4</v>
      </c>
    </row>
    <row r="14" spans="1:9" x14ac:dyDescent="0.3">
      <c r="C14" s="7" t="s">
        <v>10</v>
      </c>
      <c r="D14" s="7" t="s">
        <v>11</v>
      </c>
      <c r="E14" s="7" t="s">
        <v>48</v>
      </c>
    </row>
    <row r="16" spans="1:9" x14ac:dyDescent="0.3">
      <c r="A16" s="7" t="s">
        <v>0</v>
      </c>
      <c r="B16" s="7" t="s">
        <v>1</v>
      </c>
      <c r="C16" s="7" t="s">
        <v>2</v>
      </c>
      <c r="D16" s="7" t="s">
        <v>3</v>
      </c>
      <c r="E16" s="7" t="s">
        <v>4</v>
      </c>
      <c r="F16" s="7" t="s">
        <v>5</v>
      </c>
      <c r="G16" s="7" t="s">
        <v>6</v>
      </c>
      <c r="H16" s="7" t="s">
        <v>7</v>
      </c>
      <c r="I16" s="7" t="s">
        <v>8</v>
      </c>
    </row>
    <row r="17" spans="1:9" x14ac:dyDescent="0.3">
      <c r="A17">
        <v>7</v>
      </c>
      <c r="B17" t="s">
        <v>20</v>
      </c>
      <c r="C17" t="s">
        <v>10</v>
      </c>
      <c r="D17" t="s">
        <v>11</v>
      </c>
      <c r="E17">
        <v>38</v>
      </c>
      <c r="F17" s="3">
        <v>0.1</v>
      </c>
      <c r="G17" s="4">
        <v>18322</v>
      </c>
      <c r="H17" s="1">
        <v>45658</v>
      </c>
      <c r="I17" t="s">
        <v>46</v>
      </c>
    </row>
  </sheetData>
  <sortState xmlns:xlrd2="http://schemas.microsoft.com/office/spreadsheetml/2017/richdata2" ref="A2:I11">
    <sortCondition ref="C3:C1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3</vt:i4>
      </vt:variant>
    </vt:vector>
  </HeadingPairs>
  <TitlesOfParts>
    <vt:vector size="12" baseType="lpstr">
      <vt:lpstr>Contabilidad</vt:lpstr>
      <vt:lpstr>Ventas</vt:lpstr>
      <vt:lpstr>01 Ordenado</vt:lpstr>
      <vt:lpstr>02 Filtrado</vt:lpstr>
      <vt:lpstr>03 Reemplazar</vt:lpstr>
      <vt:lpstr>Filtro avanzado</vt:lpstr>
      <vt:lpstr>Buscar y Reemplazar</vt:lpstr>
      <vt:lpstr>Pruebas</vt:lpstr>
      <vt:lpstr>Contabilidad (2)</vt:lpstr>
      <vt:lpstr>'Contabilidad (2)'!Área_de_extracción</vt:lpstr>
      <vt:lpstr>'Contabilidad (2)'!Criterios</vt:lpstr>
      <vt:lpstr>'Filtro avanzado'!Criterios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Nuria López Álvarez</cp:lastModifiedBy>
  <dcterms:modified xsi:type="dcterms:W3CDTF">2026-10-15T10:36:03Z</dcterms:modified>
</cp:coreProperties>
</file>