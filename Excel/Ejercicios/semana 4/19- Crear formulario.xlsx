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esktop\TEMAS\Temas intermedios-avanzados\"/>
    </mc:Choice>
  </mc:AlternateContent>
  <xr:revisionPtr revIDLastSave="0" documentId="8_{30870E4A-19B0-4D29-9C10-0D9798321CCD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FACTURA" sheetId="2" r:id="rId1"/>
    <sheet name="LISTAS" sheetId="3" r:id="rId2"/>
    <sheet name="PRODUCTO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D14" i="2"/>
  <c r="F14" i="2" s="1"/>
  <c r="B14" i="2"/>
  <c r="E13" i="2"/>
  <c r="D13" i="2"/>
  <c r="F13" i="2" s="1"/>
  <c r="B13" i="2"/>
  <c r="E12" i="2"/>
  <c r="D12" i="2"/>
  <c r="F12" i="2" s="1"/>
  <c r="B12" i="2"/>
  <c r="E11" i="2"/>
  <c r="D11" i="2"/>
  <c r="F11" i="2" s="1"/>
  <c r="B11" i="2"/>
  <c r="E10" i="2"/>
  <c r="D10" i="2"/>
  <c r="F10" i="2" s="1"/>
  <c r="B10" i="2"/>
  <c r="F16" i="2" l="1"/>
  <c r="F17" i="2"/>
  <c r="F18" i="2" l="1"/>
</calcChain>
</file>

<file path=xl/sharedStrings.xml><?xml version="1.0" encoding="utf-8"?>
<sst xmlns="http://schemas.openxmlformats.org/spreadsheetml/2006/main" count="62" uniqueCount="52">
  <si>
    <t>FACTURA · MODELO RESUELTO</t>
  </si>
  <si>
    <t>N.º factura</t>
  </si>
  <si>
    <t>F-2026-014</t>
  </si>
  <si>
    <t>Fecha</t>
  </si>
  <si>
    <t>Cliente</t>
  </si>
  <si>
    <t>Oficina Norte, S. L.</t>
  </si>
  <si>
    <t>NIF</t>
  </si>
  <si>
    <t>B12345678</t>
  </si>
  <si>
    <t>Código</t>
  </si>
  <si>
    <t>Descripción</t>
  </si>
  <si>
    <t>Cantidad</t>
  </si>
  <si>
    <t>Precio unitario</t>
  </si>
  <si>
    <t>IVA</t>
  </si>
  <si>
    <t>Importe base</t>
  </si>
  <si>
    <t>S01</t>
  </si>
  <si>
    <t>S02</t>
  </si>
  <si>
    <t>P01</t>
  </si>
  <si>
    <t>P02</t>
  </si>
  <si>
    <t>S03</t>
  </si>
  <si>
    <t>Subtotal</t>
  </si>
  <si>
    <t>IVA (21 %)</t>
  </si>
  <si>
    <t>TOTAL FACTURA</t>
  </si>
  <si>
    <t>Forma de pago</t>
  </si>
  <si>
    <t>Transferencia</t>
  </si>
  <si>
    <t>Ejercicio resuelto: modificar los datos y guardar como plantilla .xltx</t>
  </si>
  <si>
    <t>FORMAS DE PAGO</t>
  </si>
  <si>
    <t>Tarjeta</t>
  </si>
  <si>
    <t>Efectivo</t>
  </si>
  <si>
    <t>Domiciliación</t>
  </si>
  <si>
    <t>Mantenimiento informático</t>
  </si>
  <si>
    <t>Instalación de software</t>
  </si>
  <si>
    <t>Teclado USB</t>
  </si>
  <si>
    <t>Ratón inalámbrico</t>
  </si>
  <si>
    <t>Configuración de red</t>
  </si>
  <si>
    <t>P03</t>
  </si>
  <si>
    <t>Monitor 24 pulgadas</t>
  </si>
  <si>
    <t>P04</t>
  </si>
  <si>
    <t>Memoria USB 64 GB</t>
  </si>
  <si>
    <t>P05</t>
  </si>
  <si>
    <t>Disco SSD 500 GB</t>
  </si>
  <si>
    <t>P06</t>
  </si>
  <si>
    <t>Cable HDMI</t>
  </si>
  <si>
    <t>S04</t>
  </si>
  <si>
    <t>Asistencia remota</t>
  </si>
  <si>
    <t>S05</t>
  </si>
  <si>
    <t>Copia de seguridad</t>
  </si>
  <si>
    <t>P07</t>
  </si>
  <si>
    <t>Webcam HD</t>
  </si>
  <si>
    <t>P08</t>
  </si>
  <si>
    <t>Auriculares con micrófono</t>
  </si>
  <si>
    <t>S06</t>
  </si>
  <si>
    <t>Limpieza y puesta a punto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</si>
</sst>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7954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167D8D"/>
      </patternFill>
    </fill>
    <fill>
      <patternFill patternType="solid">
        <fgColor rgb="FFEAF4F6"/>
      </patternFill>
    </fill>
    <fill>
      <patternFill patternType="solid">
        <fgColor rgb="FFFFF2D5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0" fontId="0" fillId="4" borderId="0" xfId="0" applyFill="1"/>
    <xf numFmtId="0" fontId="3" fillId="4" borderId="0" xfId="0" applyFont="1" applyFill="1"/>
    <xf numFmtId="14" fontId="0" fillId="0" borderId="0" xfId="0" applyNumberFormat="1"/>
    <xf numFmtId="164" fontId="0" fillId="0" borderId="0" xfId="0" applyNumberFormat="1"/>
    <xf numFmtId="164" fontId="3" fillId="4" borderId="0" xfId="0" applyNumberFormat="1" applyFont="1" applyFill="1"/>
    <xf numFmtId="0" fontId="3" fillId="0" borderId="0" xfId="0" applyFont="1"/>
    <xf numFmtId="164" fontId="0" fillId="4" borderId="0" xfId="0" applyNumberFormat="1" applyFill="1"/>
    <xf numFmtId="9" fontId="0" fillId="0" borderId="0" xfId="0" applyNumberFormat="1"/>
    <xf numFmtId="0" fontId="2" fillId="6" borderId="0" xfId="0" applyFont="1" applyFill="1"/>
    <xf numFmtId="0" fontId="1" fillId="2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sqref="A1:F1"/>
    </sheetView>
  </sheetViews>
  <sheetFormatPr baseColWidth="10" defaultColWidth="8.7265625" defaultRowHeight="13.45"/>
  <cols>
    <col min="1" max="1" width="18" customWidth="1"/>
    <col min="2" max="2" width="36" customWidth="1"/>
    <col min="3" max="3" width="15" customWidth="1"/>
    <col min="4" max="4" width="19" customWidth="1"/>
    <col min="5" max="5" width="18" customWidth="1"/>
    <col min="6" max="6" width="20" customWidth="1"/>
  </cols>
  <sheetData>
    <row r="1" spans="1:6" ht="17.5" customHeight="1">
      <c r="A1" s="11" t="s">
        <v>0</v>
      </c>
      <c r="B1" s="11"/>
      <c r="C1" s="11"/>
      <c r="D1" s="11"/>
      <c r="E1" s="11"/>
      <c r="F1" s="11"/>
    </row>
    <row r="3" spans="1:6" ht="14">
      <c r="A3" s="7" t="s">
        <v>1</v>
      </c>
      <c r="B3" t="s">
        <v>2</v>
      </c>
    </row>
    <row r="4" spans="1:6" ht="14">
      <c r="A4" s="7" t="s">
        <v>3</v>
      </c>
      <c r="B4" s="4">
        <v>46321</v>
      </c>
    </row>
    <row r="5" spans="1:6" ht="14">
      <c r="A5" s="7" t="s">
        <v>4</v>
      </c>
      <c r="B5" t="s">
        <v>5</v>
      </c>
    </row>
    <row r="6" spans="1:6" ht="14">
      <c r="A6" s="7" t="s">
        <v>6</v>
      </c>
      <c r="B6" t="s">
        <v>7</v>
      </c>
    </row>
    <row r="9" spans="1:6" ht="13.45" customHeight="1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</row>
    <row r="10" spans="1:6">
      <c r="A10" t="s">
        <v>14</v>
      </c>
      <c r="B10" t="str">
        <f>IF(A10="","",IFERROR(VLOOKUP(A10,PRODUCTOS!$A$2:$D$15,2,FALSE),"Código no encontrado"))</f>
        <v>Mantenimiento informático</v>
      </c>
      <c r="C10">
        <v>2</v>
      </c>
      <c r="D10" s="5">
        <f>IF(A10="","",IFERROR(VLOOKUP(A10,PRODUCTOS!$A$2:$D$15,3,FALSE),""))</f>
        <v>85</v>
      </c>
      <c r="E10" s="9">
        <f>IF(A10="","",IFERROR(VLOOKUP(A10,PRODUCTOS!$A$2:$D$15,4,FALSE),""))</f>
        <v>0.21</v>
      </c>
      <c r="F10" s="5">
        <f>C10*D10</f>
        <v>170</v>
      </c>
    </row>
    <row r="11" spans="1:6">
      <c r="A11" t="s">
        <v>15</v>
      </c>
      <c r="B11" t="str">
        <f>IF(A11="","",IFERROR(VLOOKUP(A11,PRODUCTOS!$A$2:$D$15,2,FALSE),"Código no encontrado"))</f>
        <v>Instalación de software</v>
      </c>
      <c r="C11">
        <v>1</v>
      </c>
      <c r="D11" s="5">
        <f>IF(A11="","",IFERROR(VLOOKUP(A11,PRODUCTOS!$A$2:$D$15,3,FALSE),""))</f>
        <v>120</v>
      </c>
      <c r="E11" s="9">
        <f>IF(A11="","",IFERROR(VLOOKUP(A11,PRODUCTOS!$A$2:$D$15,4,FALSE),""))</f>
        <v>0.21</v>
      </c>
      <c r="F11" s="5">
        <f>C11*D11</f>
        <v>120</v>
      </c>
    </row>
    <row r="12" spans="1:6">
      <c r="A12" t="s">
        <v>16</v>
      </c>
      <c r="B12" t="str">
        <f>IF(A12="","",IFERROR(VLOOKUP(A12,PRODUCTOS!$A$2:$D$15,2,FALSE),"Código no encontrado"))</f>
        <v>Teclado USB</v>
      </c>
      <c r="C12">
        <v>3</v>
      </c>
      <c r="D12" s="5">
        <f>IF(A12="","",IFERROR(VLOOKUP(A12,PRODUCTOS!$A$2:$D$15,3,FALSE),""))</f>
        <v>19.899999999999999</v>
      </c>
      <c r="E12" s="9">
        <f>IF(A12="","",IFERROR(VLOOKUP(A12,PRODUCTOS!$A$2:$D$15,4,FALSE),""))</f>
        <v>0.21</v>
      </c>
      <c r="F12" s="5">
        <f>C12*D12</f>
        <v>59.699999999999996</v>
      </c>
    </row>
    <row r="13" spans="1:6">
      <c r="A13" t="s">
        <v>17</v>
      </c>
      <c r="B13" t="str">
        <f>IF(A13="","",IFERROR(VLOOKUP(A13,PRODUCTOS!$A$2:$D$15,2,FALSE),"Código no encontrado"))</f>
        <v>Ratón inalámbrico</v>
      </c>
      <c r="C13">
        <v>2</v>
      </c>
      <c r="D13" s="5">
        <f>IF(A13="","",IFERROR(VLOOKUP(A13,PRODUCTOS!$A$2:$D$15,3,FALSE),""))</f>
        <v>24.5</v>
      </c>
      <c r="E13" s="9">
        <f>IF(A13="","",IFERROR(VLOOKUP(A13,PRODUCTOS!$A$2:$D$15,4,FALSE),""))</f>
        <v>0.21</v>
      </c>
      <c r="F13" s="5">
        <f>C13*D13</f>
        <v>49</v>
      </c>
    </row>
    <row r="14" spans="1:6">
      <c r="A14" t="s">
        <v>18</v>
      </c>
      <c r="B14" t="str">
        <f>IF(A14="","",IFERROR(VLOOKUP(A14,PRODUCTOS!$A$2:$D$15,2,FALSE),"Código no encontrado"))</f>
        <v>Configuración de red</v>
      </c>
      <c r="C14">
        <v>1</v>
      </c>
      <c r="D14" s="5">
        <f>IF(A14="","",IFERROR(VLOOKUP(A14,PRODUCTOS!$A$2:$D$15,3,FALSE),""))</f>
        <v>95</v>
      </c>
      <c r="E14" s="9">
        <f>IF(A14="","",IFERROR(VLOOKUP(A14,PRODUCTOS!$A$2:$D$15,4,FALSE),""))</f>
        <v>0.21</v>
      </c>
      <c r="F14" s="5">
        <f>C14*D14</f>
        <v>95</v>
      </c>
    </row>
    <row r="15" spans="1:6">
      <c r="F15" s="5"/>
    </row>
    <row r="16" spans="1:6" ht="12.8" customHeight="1">
      <c r="E16" s="2" t="s">
        <v>19</v>
      </c>
      <c r="F16" s="8">
        <f>SUM(F10:F14)</f>
        <v>493.7</v>
      </c>
    </row>
    <row r="17" spans="1:6" ht="12.8" customHeight="1">
      <c r="E17" s="2" t="s">
        <v>20</v>
      </c>
      <c r="F17" s="8">
        <f>SUMPRODUCT(F10:F14,E10:E14)</f>
        <v>103.67699999999998</v>
      </c>
    </row>
    <row r="18" spans="1:6" ht="12.8" customHeight="1">
      <c r="E18" s="3" t="s">
        <v>21</v>
      </c>
      <c r="F18" s="6">
        <f>F16+F17</f>
        <v>597.37699999999995</v>
      </c>
    </row>
    <row r="20" spans="1:6" ht="14">
      <c r="A20" s="7" t="s">
        <v>22</v>
      </c>
      <c r="B20" t="s">
        <v>23</v>
      </c>
    </row>
    <row r="23" spans="1:6" ht="13.45" customHeight="1">
      <c r="A23" s="12" t="s">
        <v>24</v>
      </c>
      <c r="B23" s="12"/>
      <c r="C23" s="12"/>
      <c r="D23" s="12"/>
      <c r="E23" s="12"/>
      <c r="F23" s="12"/>
    </row>
  </sheetData>
  <mergeCells count="2">
    <mergeCell ref="A1:F1"/>
    <mergeCell ref="A23:F23"/>
  </mergeCells>
  <dataValidations count="1">
    <dataValidation type="list" sqref="B20" xr:uid="{00000000-0002-0000-0000-000000000000}">
      <formula1>"Transferencia,Tarjeta,Efectivo,Domiciliación"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7265625" defaultRowHeight="13.45"/>
  <cols>
    <col min="1" max="1" width="24" customWidth="1"/>
  </cols>
  <sheetData>
    <row r="1" spans="1:1" ht="13.45" customHeight="1">
      <c r="A1" s="1" t="s">
        <v>25</v>
      </c>
    </row>
    <row r="2" spans="1:1">
      <c r="A2" t="s">
        <v>23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3.45"/>
  <cols>
    <col min="1" max="1" width="15" customWidth="1"/>
    <col min="2" max="2" width="36" customWidth="1"/>
    <col min="3" max="3" width="19" customWidth="1"/>
    <col min="4" max="4" width="13" customWidth="1"/>
  </cols>
  <sheetData>
    <row r="1" spans="1:4" ht="27.95" customHeight="1">
      <c r="A1" s="10" t="s">
        <v>8</v>
      </c>
      <c r="B1" s="10" t="s">
        <v>9</v>
      </c>
      <c r="C1" s="10" t="s">
        <v>11</v>
      </c>
      <c r="D1" s="10" t="s">
        <v>12</v>
      </c>
    </row>
    <row r="2" spans="1:4">
      <c r="A2" t="s">
        <v>14</v>
      </c>
      <c r="B2" t="s">
        <v>29</v>
      </c>
      <c r="C2" s="5">
        <v>85</v>
      </c>
      <c r="D2" s="9">
        <v>0.21</v>
      </c>
    </row>
    <row r="3" spans="1:4">
      <c r="A3" t="s">
        <v>15</v>
      </c>
      <c r="B3" t="s">
        <v>30</v>
      </c>
      <c r="C3" s="5">
        <v>120</v>
      </c>
      <c r="D3" s="9">
        <v>0.21</v>
      </c>
    </row>
    <row r="4" spans="1:4">
      <c r="A4" t="s">
        <v>16</v>
      </c>
      <c r="B4" t="s">
        <v>31</v>
      </c>
      <c r="C4" s="5">
        <v>19.899999999999999</v>
      </c>
      <c r="D4" s="9">
        <v>0.21</v>
      </c>
    </row>
    <row r="5" spans="1:4">
      <c r="A5" t="s">
        <v>17</v>
      </c>
      <c r="B5" t="s">
        <v>32</v>
      </c>
      <c r="C5" s="5">
        <v>24.5</v>
      </c>
      <c r="D5" s="9">
        <v>0.21</v>
      </c>
    </row>
    <row r="6" spans="1:4">
      <c r="A6" t="s">
        <v>18</v>
      </c>
      <c r="B6" t="s">
        <v>33</v>
      </c>
      <c r="C6" s="5">
        <v>95</v>
      </c>
      <c r="D6" s="9">
        <v>0.21</v>
      </c>
    </row>
    <row r="7" spans="1:4">
      <c r="A7" t="s">
        <v>34</v>
      </c>
      <c r="B7" t="s">
        <v>35</v>
      </c>
      <c r="C7" s="5">
        <v>149</v>
      </c>
      <c r="D7" s="9">
        <v>0.21</v>
      </c>
    </row>
    <row r="8" spans="1:4">
      <c r="A8" t="s">
        <v>36</v>
      </c>
      <c r="B8" t="s">
        <v>37</v>
      </c>
      <c r="C8" s="5">
        <v>12.5</v>
      </c>
      <c r="D8" s="9">
        <v>0.21</v>
      </c>
    </row>
    <row r="9" spans="1:4">
      <c r="A9" t="s">
        <v>38</v>
      </c>
      <c r="B9" t="s">
        <v>39</v>
      </c>
      <c r="C9" s="5">
        <v>59</v>
      </c>
      <c r="D9" s="9">
        <v>0.21</v>
      </c>
    </row>
    <row r="10" spans="1:4">
      <c r="A10" t="s">
        <v>40</v>
      </c>
      <c r="B10" t="s">
        <v>41</v>
      </c>
      <c r="C10" s="5">
        <v>9.9</v>
      </c>
      <c r="D10" s="9">
        <v>0.21</v>
      </c>
    </row>
    <row r="11" spans="1:4">
      <c r="A11" t="s">
        <v>42</v>
      </c>
      <c r="B11" t="s">
        <v>43</v>
      </c>
      <c r="C11" s="5">
        <v>45</v>
      </c>
      <c r="D11" s="9">
        <v>0.21</v>
      </c>
    </row>
    <row r="12" spans="1:4">
      <c r="A12" t="s">
        <v>44</v>
      </c>
      <c r="B12" t="s">
        <v>45</v>
      </c>
      <c r="C12" s="5">
        <v>65</v>
      </c>
      <c r="D12" s="9">
        <v>0.21</v>
      </c>
    </row>
    <row r="13" spans="1:4">
      <c r="A13" t="s">
        <v>46</v>
      </c>
      <c r="B13" t="s">
        <v>47</v>
      </c>
      <c r="C13" s="5">
        <v>34.9</v>
      </c>
      <c r="D13" s="9">
        <v>0.21</v>
      </c>
    </row>
    <row r="14" spans="1:4">
      <c r="A14" t="s">
        <v>48</v>
      </c>
      <c r="B14" t="s">
        <v>49</v>
      </c>
      <c r="C14" s="5">
        <v>27.5</v>
      </c>
      <c r="D14" s="9">
        <v>0.21</v>
      </c>
    </row>
    <row r="15" spans="1:4">
      <c r="A15" t="s">
        <v>50</v>
      </c>
      <c r="B15" t="s">
        <v>51</v>
      </c>
      <c r="C15" s="5">
        <v>55</v>
      </c>
      <c r="D15" s="9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</vt:lpstr>
      <vt:lpstr>LISTAS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created xsi:type="dcterms:W3CDTF">2026-10-27T10:52:50Z</dcterms:created>
  <dcterms:modified xsi:type="dcterms:W3CDTF">2026-10-27T10:52:50Z</dcterms:modified>
</cp:coreProperties>
</file>