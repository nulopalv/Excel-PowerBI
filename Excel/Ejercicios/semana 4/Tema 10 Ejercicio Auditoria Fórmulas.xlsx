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d9b4d9791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fdd9dcbcec3a44fd"/>
    <x:sheet xmlns:r="http://schemas.openxmlformats.org/officeDocument/2006/relationships" name="VENTAS_AUDITAR" sheetId="2" r:id="Rc6dc3c0815894a02"/>
    <x:sheet xmlns:r="http://schemas.openxmlformats.org/officeDocument/2006/relationships" name="COMISIONES" sheetId="3" r:id="Rc7771cba8cfb4524"/>
    <x:sheet xmlns:r="http://schemas.openxmlformats.org/officeDocument/2006/relationships" name="PISTAS" sheetId="4" r:id="R8f5f80867206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&quot;€&quot;"/>
    <x:numFmt numFmtId="201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a04e8dc3c492d" /><Relationship Type="http://schemas.openxmlformats.org/officeDocument/2006/relationships/theme" Target="/xl/theme/theme1.xml" Id="R3771eef0074043c3" /><Relationship Type="http://schemas.openxmlformats.org/officeDocument/2006/relationships/sharedStrings" Target="/xl/sharedStrings.xml" Id="Rd03789b45edd4fc0" /><Relationship Type="http://schemas.openxmlformats.org/officeDocument/2006/relationships/worksheet" Target="/xl/worksheets/sheet1.xml" Id="Rfdd9dcbcec3a44fd" /><Relationship Type="http://schemas.openxmlformats.org/officeDocument/2006/relationships/worksheet" Target="/xl/worksheets/sheet2.xml" Id="Rc6dc3c0815894a02" /><Relationship Type="http://schemas.openxmlformats.org/officeDocument/2006/relationships/worksheet" Target="/xl/worksheets/sheet3.xml" Id="Rc7771cba8cfb4524" /><Relationship Type="http://schemas.openxmlformats.org/officeDocument/2006/relationships/worksheet" Target="/xl/worksheets/sheet4.xml" Id="R8f5f8086720642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31" customHeight="1">
      <x:c r="A1" s="7" t="str">
        <x:v>TEMA 10 · AUDITORÍA DE FÓRMULAS | PRÁCTICA</x:v>
      </x:c>
      <x:c r="B1" s="7"/>
    </x:row>
    <x:row r="3">
      <x:c r="A3" t="str">
        <x:v>Objetivo</x:v>
      </x:c>
      <x:c r="B3" t="str">
        <x:v>Detectar, explicar y corregir errores con las herramientas de Fórmulas &gt; Auditoría de fórmulas</x:v>
      </x:c>
    </x:row>
    <x:row r="4">
      <x:c r="A4" t="str">
        <x:v>1. Mostrar fórmulas</x:v>
      </x:c>
      <x:c r="B4" t="str">
        <x:v>En VENTAS_AUDITAR, mostrar fórmulas y localizar las que no siguen el patrón.</x:v>
      </x:c>
    </x:row>
    <x:row r="5">
      <x:c r="A5" t="str">
        <x:v>2. Precedentes</x:v>
      </x:c>
      <x:c r="B5" t="str">
        <x:v>En E5 y F9, rastrear precedentes y anotar las celdas que intervienen.</x:v>
      </x:c>
    </x:row>
    <x:row r="6">
      <x:c r="A6" t="str">
        <x:v>3. Dependientes</x:v>
      </x:c>
      <x:c r="B6" t="str">
        <x:v>En B6 y E7, rastrear dependientes.</x:v>
      </x:c>
    </x:row>
    <x:row r="7">
      <x:c r="A7" t="str">
        <x:v>4. Errores</x:v>
      </x:c>
      <x:c r="B7" t="str">
        <x:v>Localizar y corregir errores #¡DIV/0!, #¡REF!, #¡VALOR! y #N/A.</x:v>
      </x:c>
    </x:row>
    <x:row r="8">
      <x:c r="A8" t="str">
        <x:v>5. Error silencioso</x:v>
      </x:c>
      <x:c r="B8" t="str">
        <x:v>Encontrar una fórmula que da un número, pero utiliza una fila equivocada.</x:v>
      </x:c>
    </x:row>
    <x:row r="9">
      <x:c r="A9" t="str">
        <x:v>6. Referencia absoluta</x:v>
      </x:c>
      <x:c r="B9" t="str">
        <x:v>Detectar una fórmula que usa una referencia de IVA incorrecta.</x:v>
      </x:c>
    </x:row>
    <x:row r="10">
      <x:c r="A10" t="str">
        <x:v>7. Evaluar fórmula</x:v>
      </x:c>
      <x:c r="B10" t="str">
        <x:v>Evaluar paso a paso G8 y explicar el orden de cálculo.</x:v>
      </x:c>
    </x:row>
    <x:row r="11">
      <x:c r="A11" t="str">
        <x:v>8. Ventana Inspección</x:v>
      </x:c>
      <x:c r="B11" t="str">
        <x:v>Añadir E5, F9, G12 y C6 de COMISIONES.</x:v>
      </x:c>
    </x:row>
    <x:row r="12">
      <x:c r="A12" t="str">
        <x:v>9. Comisiones</x:v>
      </x:c>
      <x:c r="B12" t="str">
        <x:v>Revisar el cálculo de comisiones; una fórmula usa un porcentaje erróneo.</x:v>
      </x:c>
    </x:row>
    <x:row r="13">
      <x:c r="A13" t="str">
        <x:v>10. Informe final</x:v>
      </x:c>
      <x:c r="B13" t="str">
        <x:v>Completar la hoja PISTAS con celda, problema, corrección y herramienta usada.</x:v>
      </x:c>
    </x:row>
    <x:row r="14">
      <x:c r="A14" t="str">
        <x:v>Entrega</x:v>
      </x:c>
      <x:c r="B14" t="str">
        <x:v>Guardar una copia corregida y explicar al menos seis incidencias.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9" max="9" width="24" hidden="0" customWidth="1"/>
    <x:col min="10" max="10" width="18" hidden="0" customWidth="1"/>
  </x:cols>
  <x:sheetData>
    <x:row r="1" ht="27" customHeight="1">
      <x:c r="A1" s="7" t="str">
        <x:v>Fecha</x:v>
      </x:c>
      <x:c r="B1" s="7" t="str">
        <x:v>Cliente</x:v>
      </x:c>
      <x:c r="C1" s="7" t="str">
        <x:v>Producto</x:v>
      </x:c>
      <x:c r="D1" s="7" t="str">
        <x:v>Unidades</x:v>
      </x:c>
      <x:c r="E1" s="7" t="str">
        <x:v>Precio unitario</x:v>
      </x:c>
      <x:c r="F1" s="7" t="str">
        <x:v>Base imponible</x:v>
      </x:c>
      <x:c r="G1" s="7" t="str">
        <x:v>Total con IVA</x:v>
      </x:c>
    </x:row>
    <x:row r="2">
      <x:c r="A2" t="str">
        <x:v>02/10/2026</x:v>
      </x:c>
      <x:c r="B2" t="str">
        <x:v>Alba Norte</x:v>
      </x:c>
      <x:c r="C2" t="str">
        <x:v>Teclado</x:v>
      </x:c>
      <x:c r="D2" t="n">
        <x:v>3</x:v>
      </x:c>
      <x:c r="E2" s="2" t="n">
        <x:v>24.5</x:v>
      </x:c>
      <x:c r="F2" s="2" t="n">
        <x:f>D2*E2</x:f>
        <x:v>73.5</x:v>
      </x:c>
      <x:c r="G2" s="2" t="n">
        <x:f>F2*(1+$J$3)</x:f>
        <x:v>88.935</x:v>
      </x:c>
      <x:c r="I2" t="str">
        <x:v>Parámetro</x:v>
      </x:c>
      <x:c r="J2" t="str">
        <x:v>Valor</x:v>
      </x:c>
    </x:row>
    <x:row r="3">
      <x:c r="A3" t="str">
        <x:v>03/10/2026</x:v>
      </x:c>
      <x:c r="B3" t="str">
        <x:v>Soluciones Vega</x:v>
      </x:c>
      <x:c r="C3" t="str">
        <x:v>Monitor</x:v>
      </x:c>
      <x:c r="D3" t="n">
        <x:v>2</x:v>
      </x:c>
      <x:c r="E3" s="2" t="n">
        <x:v>145</x:v>
      </x:c>
      <x:c r="F3" s="2" t="n">
        <x:f>D3*E3</x:f>
        <x:v>290</x:v>
      </x:c>
      <x:c r="G3" s="2" t="n">
        <x:f>F3*(1+$J$3)</x:f>
        <x:v>350.9</x:v>
      </x:c>
      <x:c r="I3" t="str">
        <x:v>IVA</x:v>
      </x:c>
      <x:c r="J3" s="4" t="n">
        <x:v>0.21</x:v>
      </x:c>
    </x:row>
    <x:row r="4">
      <x:c r="A4" t="str">
        <x:v>04/10/2026</x:v>
      </x:c>
      <x:c r="B4" t="str">
        <x:v>Litoral SL</x:v>
      </x:c>
      <x:c r="C4" t="str">
        <x:v>Ratón</x:v>
      </x:c>
      <x:c r="D4" t="n">
        <x:v>5</x:v>
      </x:c>
      <x:c r="E4" s="2" t="n">
        <x:v>12.8</x:v>
      </x:c>
      <x:c r="F4" s="2" t="n">
        <x:f>D4*E4</x:f>
        <x:v>64</x:v>
      </x:c>
      <x:c r="G4" s="2" t="n">
        <x:f>F4*(1+$J$3)</x:f>
        <x:v>77.44</x:v>
      </x:c>
      <x:c r="I4" t="str">
        <x:v>Comisión estándar</x:v>
      </x:c>
      <x:c r="J4" s="4" t="n">
        <x:v>0.05</x:v>
      </x:c>
    </x:row>
    <x:row r="5">
      <x:c r="A5" t="str">
        <x:v>05/10/2026</x:v>
      </x:c>
      <x:c r="B5" t="str">
        <x:v>Duarte</x:v>
      </x:c>
      <x:c r="C5" t="str">
        <x:v>Webcam</x:v>
      </x:c>
      <x:c r="D5" t="n">
        <x:v>4</x:v>
      </x:c>
      <x:c r="E5" s="2" t="n">
        <x:v>36</x:v>
      </x:c>
      <x:c r="F5" s="2" t="n">
        <x:f>D5*E4</x:f>
        <x:v>51.2</x:v>
      </x:c>
      <x:c r="G5" s="2" t="n">
        <x:f>F5*(1+$J$3)</x:f>
        <x:v>61.952</x:v>
      </x:c>
    </x:row>
    <x:row r="6">
      <x:c r="A6" t="str">
        <x:v>06/10/2026</x:v>
      </x:c>
      <x:c r="B6" t="str">
        <x:v>Alba Norte</x:v>
      </x:c>
      <x:c r="C6" t="str">
        <x:v>Hub USB</x:v>
      </x:c>
      <x:c r="D6" t="n">
        <x:v>0</x:v>
      </x:c>
      <x:c r="E6" s="2" t="n">
        <x:v>18</x:v>
      </x:c>
      <x:c r="F6" s="2" t="e">
        <x:f>D6/0</x:f>
        <x:v>#DIV/0!</x:v>
      </x:c>
      <x:c r="G6" s="2" t="e">
        <x:f>F6*(1+$J$3)</x:f>
        <x:v>#DIV/0!</x:v>
      </x:c>
    </x:row>
    <x:row r="7">
      <x:c r="A7" t="str">
        <x:v>07/10/2026</x:v>
      </x:c>
      <x:c r="B7" t="str">
        <x:v>Soluciones Vega</x:v>
      </x:c>
      <x:c r="C7" t="str">
        <x:v>Monitor</x:v>
      </x:c>
      <x:c r="D7" t="n">
        <x:v>1</x:v>
      </x:c>
      <x:c r="E7" s="2" t="n">
        <x:v>145</x:v>
      </x:c>
      <x:c r="F7" s="2" t="n">
        <x:f>D7*E7</x:f>
        <x:v>145</x:v>
      </x:c>
      <x:c r="G7" s="2" t="n">
        <x:f>F7*(1+$J$3)</x:f>
        <x:v>175.45</x:v>
      </x:c>
      <x:c r="I7" t="str">
        <x:v>Búsqueda producto</x:v>
      </x:c>
      <x:c r="J7" t="str">
        <x:v>Precio</x:v>
      </x:c>
    </x:row>
    <x:row r="8">
      <x:c r="A8" t="str">
        <x:v>08/10/2026</x:v>
      </x:c>
      <x:c r="B8" t="str">
        <x:v>Litoral SL</x:v>
      </x:c>
      <x:c r="C8" t="str">
        <x:v>Teclado</x:v>
      </x:c>
      <x:c r="D8" t="n">
        <x:v>2</x:v>
      </x:c>
      <x:c r="E8" s="2" t="n">
        <x:v>24.5</x:v>
      </x:c>
      <x:c r="F8" s="2" t="n">
        <x:f>D8*E8</x:f>
        <x:v>49</x:v>
      </x:c>
      <x:c r="G8" s="2" t="n">
        <x:f>F8*(1+$J$4)</x:f>
        <x:v>51.45</x:v>
      </x:c>
      <x:c r="I8" t="str">
        <x:v>Monitor</x:v>
      </x:c>
      <x:c r="J8" t="n">
        <x:f>VLOOKUP(I8,$C$2:$E$13,3,FALSE)</x:f>
        <x:v>145</x:v>
      </x:c>
    </x:row>
    <x:row r="9">
      <x:c r="A9" t="str">
        <x:v>09/10/2026</x:v>
      </x:c>
      <x:c r="B9" t="str">
        <x:v>Duarte</x:v>
      </x:c>
      <x:c r="C9" t="str">
        <x:v>Webcam</x:v>
      </x:c>
      <x:c r="D9" t="n">
        <x:v>3</x:v>
      </x:c>
      <x:c r="E9" s="2" t="n">
        <x:v>36</x:v>
      </x:c>
      <x:c r="F9" s="2" t="e">
        <x:f>D9*#REF!</x:f>
        <x:v>#REF!</x:v>
      </x:c>
      <x:c r="G9" s="2" t="e">
        <x:f>F9*(1+$J$3)</x:f>
        <x:v>#REF!</x:v>
      </x:c>
      <x:c r="I9" t="str">
        <x:v>Producto inexistente</x:v>
      </x:c>
      <x:c r="J9" t="e">
        <x:f>VLOOKUP(I9,$C$2:$E$13,3,FALSE)</x:f>
        <x:v>#N/A</x:v>
      </x:c>
    </x:row>
    <x:row r="10">
      <x:c r="A10" t="str">
        <x:v>10/10/2026</x:v>
      </x:c>
      <x:c r="B10" t="str">
        <x:v>Alba Norte</x:v>
      </x:c>
      <x:c r="C10" t="str">
        <x:v>Ratón</x:v>
      </x:c>
      <x:c r="D10" t="n">
        <x:v>6</x:v>
      </x:c>
      <x:c r="E10" s="2" t="n">
        <x:v>12.8</x:v>
      </x:c>
      <x:c r="F10" s="2" t="n">
        <x:f>D10*E10</x:f>
        <x:v>76.80000000000001</x:v>
      </x:c>
      <x:c r="G10" s="2" t="n">
        <x:f>F10*(1+$J$3)</x:f>
        <x:v>92.92800000000001</x:v>
      </x:c>
      <x:c r="I10" t="str">
        <x:v>Teclado</x:v>
      </x:c>
      <x:c r="J10" t="n">
        <x:f>VLOOKUP(I10,$C$2:$E$13,3,FALSE)</x:f>
        <x:v>24.5</x:v>
      </x:c>
    </x:row>
    <x:row r="11">
      <x:c r="A11" t="str">
        <x:v>11/10/2026</x:v>
      </x:c>
      <x:c r="B11" t="str">
        <x:v>Soluciones Vega</x:v>
      </x:c>
      <x:c r="C11" t="str">
        <x:v>Hub USB</x:v>
      </x:c>
      <x:c r="D11" t="n">
        <x:v>2</x:v>
      </x:c>
      <x:c r="E11" s="2" t="n">
        <x:v>18</x:v>
      </x:c>
      <x:c r="F11" s="2" t="e">
        <x:f>D11*"precio"</x:f>
        <x:v>#VALUE!</x:v>
      </x:c>
      <x:c r="G11" s="2" t="e">
        <x:f>F11*(1+$J$3)</x:f>
        <x:v>#VALUE!</x:v>
      </x:c>
    </x:row>
    <x:row r="12">
      <x:c r="A12" t="str">
        <x:v>12/10/2026</x:v>
      </x:c>
      <x:c r="B12" t="str">
        <x:v>Litoral SL</x:v>
      </x:c>
      <x:c r="C12" t="str">
        <x:v>Monitor</x:v>
      </x:c>
      <x:c r="D12" t="n">
        <x:v>1</x:v>
      </x:c>
      <x:c r="E12" s="2" t="n">
        <x:v>145</x:v>
      </x:c>
      <x:c r="F12" s="2" t="n">
        <x:f>D12*E12</x:f>
        <x:v>145</x:v>
      </x:c>
      <x:c r="G12" s="2" t="n">
        <x:f>F12*(1+J3)</x:f>
        <x:v>175.45</x:v>
      </x:c>
    </x:row>
    <x:row r="13">
      <x:c r="A13" t="str">
        <x:v>13/10/2026</x:v>
      </x:c>
      <x:c r="B13" t="str">
        <x:v>Duarte</x:v>
      </x:c>
      <x:c r="C13" t="str">
        <x:v>Teclado</x:v>
      </x:c>
      <x:c r="D13" t="n">
        <x:v>4</x:v>
      </x:c>
      <x:c r="E13" s="2" t="n">
        <x:v>24.5</x:v>
      </x:c>
      <x:c r="F13" s="2" t="n">
        <x:f>D13*E13</x:f>
        <x:v>98</x:v>
      </x:c>
      <x:c r="G13" s="2" t="n">
        <x:f>F13*(1+$J$3)</x:f>
        <x:v>118.58</x:v>
      </x:c>
      <x:c r="I13" t="str">
        <x:v>Control: total ventas</x:v>
      </x:c>
      <x:c r="J13" t="e">
        <x:f>SUM(G2:G13)</x:f>
        <x:v>#DIV/0!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7" customHeight="1">
      <x:c r="A1" s="7" t="str">
        <x:v>Vendedor</x:v>
      </x:c>
      <x:c r="B1" s="7" t="str">
        <x:v>Ventas netas</x:v>
      </x:c>
      <x:c r="C1" s="7" t="str">
        <x:v>Comisión</x:v>
      </x:c>
      <x:c r="D1" s="7" t="str">
        <x:v>Total incentivo</x:v>
      </x:c>
      <x:c r="E1" s="7"/>
      <x:c r="F1" s="7"/>
      <x:c r="G1" s="7"/>
    </x:row>
    <x:row r="2">
      <x:c r="A2" t="str">
        <x:v>Ana</x:v>
      </x:c>
      <x:c r="B2" s="2" t="n">
        <x:v>2500</x:v>
      </x:c>
      <x:c r="C2" s="2" t="n">
        <x:f>B2*$G$2</x:f>
        <x:v>125</x:v>
      </x:c>
      <x:c r="D2" s="2" t="n">
        <x:f>C2+$G$3</x:f>
        <x:v>160</x:v>
      </x:c>
      <x:c r="F2" t="str">
        <x:v>Porcentaje comisión</x:v>
      </x:c>
      <x:c r="G2" s="4" t="n">
        <x:v>0.05</x:v>
      </x:c>
    </x:row>
    <x:row r="3">
      <x:c r="A3" t="str">
        <x:v>Luis</x:v>
      </x:c>
      <x:c r="B3" s="2" t="n">
        <x:v>1900</x:v>
      </x:c>
      <x:c r="C3" s="2" t="n">
        <x:f>B3*$G$2</x:f>
        <x:v>95</x:v>
      </x:c>
      <x:c r="D3" s="2" t="n">
        <x:f>C3+$G$3</x:f>
        <x:v>130</x:v>
      </x:c>
      <x:c r="F3" t="str">
        <x:v>Bonus fijo</x:v>
      </x:c>
      <x:c r="G3" t="n">
        <x:v>35</x:v>
      </x:c>
    </x:row>
    <x:row r="4">
      <x:c r="A4" t="str">
        <x:v>Marta</x:v>
      </x:c>
      <x:c r="B4" s="2" t="n">
        <x:v>3200</x:v>
      </x:c>
      <x:c r="C4" s="2" t="n">
        <x:f>B4*$G$2</x:f>
        <x:v>160</x:v>
      </x:c>
      <x:c r="D4" s="2" t="n">
        <x:f>C4+$G$3</x:f>
        <x:v>195</x:v>
      </x:c>
    </x:row>
    <x:row r="5">
      <x:c r="A5" t="str">
        <x:v>Pablo</x:v>
      </x:c>
      <x:c r="B5" s="2" t="n">
        <x:v>1750</x:v>
      </x:c>
      <x:c r="C5" s="2" t="n">
        <x:f>B5*$G$2</x:f>
        <x:v>87.5</x:v>
      </x:c>
      <x:c r="D5" s="2" t="n">
        <x:f>C5+$G$3</x:f>
        <x:v>122.5</x:v>
      </x:c>
    </x:row>
    <x:row r="6">
      <x:c r="A6" t="str">
        <x:v>Sonia</x:v>
      </x:c>
      <x:c r="B6" s="2" t="n">
        <x:v>4100</x:v>
      </x:c>
      <x:c r="C6" s="2" t="n">
        <x:f>B6*$G$3</x:f>
        <x:v>143500</x:v>
      </x:c>
      <x:c r="D6" s="2" t="n">
        <x:f>C6+$G$3</x:f>
        <x:v>143535</x:v>
      </x:c>
    </x:row>
    <x:row r="7">
      <x:c r="A7" t="str">
        <x:v>Iván</x:v>
      </x:c>
      <x:c r="B7" s="2" t="n">
        <x:v>2800</x:v>
      </x:c>
      <x:c r="C7" s="2" t="n">
        <x:f>B7*$G$2</x:f>
        <x:v>140</x:v>
      </x:c>
      <x:c r="D7" s="2" t="n">
        <x:f>C7+$G$3</x:f>
        <x:v>175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27" customHeight="1">
      <x:c r="A1" s="7" t="str">
        <x:v>Celda / hoja</x:v>
      </x:c>
      <x:c r="B1" s="7" t="str">
        <x:v>Problema detectado</x:v>
      </x:c>
      <x:c r="C1" s="7" t="str">
        <x:v>Fórmula corregida</x:v>
      </x:c>
      <x:c r="D1" s="7" t="str">
        <x:v>Herramienta de auditoría</x:v>
      </x:c>
    </x:row>
    <x:row r="2">
      <x:c r="A2" s="10"/>
      <x:c r="B2" s="10"/>
      <x:c r="C2" s="10"/>
      <x:c r="D2" s="10"/>
    </x:row>
    <x:row r="3">
      <x:c r="A3" s="10"/>
      <x:c r="B3" s="10"/>
      <x:c r="C3" s="10"/>
      <x:c r="D3" s="10"/>
    </x:row>
    <x:row r="4">
      <x:c r="A4" s="10"/>
      <x:c r="B4" s="10"/>
      <x:c r="C4" s="10"/>
      <x:c r="D4" s="10"/>
    </x:row>
    <x:row r="5">
      <x:c r="A5" s="10"/>
      <x:c r="B5" s="10"/>
      <x:c r="C5" s="10"/>
      <x:c r="D5" s="10"/>
    </x:row>
    <x:row r="6">
      <x:c r="A6" s="10"/>
      <x:c r="B6" s="10"/>
      <x:c r="C6" s="10"/>
      <x:c r="D6" s="10"/>
    </x:row>
    <x:row r="7">
      <x:c r="A7" s="10"/>
      <x:c r="B7" s="10"/>
      <x:c r="C7" s="10"/>
      <x:c r="D7" s="10"/>
    </x:row>
    <x:row r="8">
      <x:c r="A8" s="10"/>
      <x:c r="B8" s="10"/>
      <x:c r="C8" s="10"/>
      <x:c r="D8" s="10"/>
    </x:row>
    <x:row r="9">
      <x:c r="A9" s="10"/>
      <x:c r="B9" s="10"/>
      <x:c r="C9" s="10"/>
      <x:c r="D9" s="10"/>
    </x:row>
    <x:row r="10">
      <x:c r="A10" s="10"/>
      <x:c r="B10" s="10"/>
      <x:c r="C10" s="10"/>
      <x:c r="D10" s="10"/>
    </x:row>
    <x:row r="11">
      <x:c r="A11" s="10"/>
      <x:c r="B11" s="10"/>
      <x:c r="C11" s="10"/>
      <x:c r="D11" s="10"/>
    </x:row>
    <x:row r="12">
      <x:c r="A12" s="10"/>
      <x:c r="B12" s="10"/>
      <x:c r="C12" s="10"/>
      <x:c r="D12" s="10"/>
    </x:row>
  </x:sheetData>
  <x:pageMargins left="0.7" right="0.7" top="0.75" bottom="0.75" header="0.3" footer="0.3"/>
</x:worksheet>
</file>